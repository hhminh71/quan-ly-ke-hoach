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I:\My Drive\APP\Projects\quan-ly-ke-hoach\BRAVO Daily\"/>
    </mc:Choice>
  </mc:AlternateContent>
  <xr:revisionPtr revIDLastSave="0" documentId="13_ncr:1_{F22E1285-B9AD-4380-B18E-9B7ACA83BC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áo cáo thực hiện chi phí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7" i="2" l="1"/>
  <c r="H157" i="2"/>
  <c r="F157" i="2"/>
  <c r="D157" i="2"/>
  <c r="C157" i="2"/>
  <c r="J150" i="2"/>
  <c r="J140" i="2" s="1"/>
  <c r="H150" i="2"/>
  <c r="H140" i="2" s="1"/>
  <c r="F150" i="2"/>
  <c r="D150" i="2"/>
  <c r="C150" i="2"/>
  <c r="J145" i="2"/>
  <c r="H145" i="2"/>
  <c r="F145" i="2"/>
  <c r="D145" i="2"/>
  <c r="C145" i="2"/>
  <c r="C140" i="2" s="1"/>
  <c r="F140" i="2"/>
  <c r="D140" i="2"/>
  <c r="J138" i="2"/>
  <c r="H138" i="2"/>
  <c r="F138" i="2"/>
  <c r="D138" i="2"/>
  <c r="C138" i="2"/>
  <c r="J115" i="2"/>
  <c r="H115" i="2"/>
  <c r="F115" i="2"/>
  <c r="D115" i="2"/>
  <c r="C115" i="2"/>
  <c r="J99" i="2"/>
  <c r="H99" i="2"/>
  <c r="F99" i="2"/>
  <c r="D99" i="2"/>
  <c r="C99" i="2"/>
  <c r="J88" i="2"/>
  <c r="H88" i="2"/>
  <c r="F88" i="2"/>
  <c r="D88" i="2"/>
  <c r="D87" i="2" s="1"/>
  <c r="C88" i="2"/>
  <c r="C87" i="2" s="1"/>
  <c r="J87" i="2"/>
  <c r="H87" i="2"/>
  <c r="F87" i="2"/>
  <c r="J76" i="2"/>
  <c r="H76" i="2"/>
  <c r="F76" i="2"/>
  <c r="D76" i="2"/>
  <c r="C76" i="2"/>
  <c r="J71" i="2"/>
  <c r="H71" i="2"/>
  <c r="F71" i="2"/>
  <c r="D71" i="2"/>
  <c r="C71" i="2"/>
  <c r="J52" i="2"/>
  <c r="H52" i="2"/>
  <c r="F52" i="2"/>
  <c r="D52" i="2"/>
  <c r="C52" i="2"/>
  <c r="J43" i="2"/>
  <c r="H43" i="2"/>
  <c r="F43" i="2"/>
  <c r="F42" i="2" s="1"/>
  <c r="F41" i="2" s="1"/>
  <c r="D43" i="2"/>
  <c r="D42" i="2" s="1"/>
  <c r="D41" i="2" s="1"/>
  <c r="C43" i="2"/>
  <c r="C42" i="2" s="1"/>
  <c r="C41" i="2" s="1"/>
  <c r="J42" i="2"/>
  <c r="J41" i="2" s="1"/>
  <c r="H42" i="2"/>
  <c r="H41" i="2" s="1"/>
  <c r="J38" i="2"/>
  <c r="H38" i="2"/>
  <c r="F38" i="2"/>
  <c r="D38" i="2"/>
  <c r="C38" i="2"/>
  <c r="J36" i="2"/>
  <c r="H36" i="2"/>
  <c r="F36" i="2"/>
  <c r="D36" i="2"/>
  <c r="C36" i="2"/>
  <c r="J33" i="2"/>
  <c r="H33" i="2"/>
  <c r="H27" i="2" s="1"/>
  <c r="F33" i="2"/>
  <c r="F27" i="2" s="1"/>
  <c r="D33" i="2"/>
  <c r="D27" i="2" s="1"/>
  <c r="C33" i="2"/>
  <c r="C27" i="2" s="1"/>
  <c r="J28" i="2"/>
  <c r="J27" i="2" s="1"/>
  <c r="H28" i="2"/>
  <c r="F28" i="2"/>
  <c r="D28" i="2"/>
  <c r="C28" i="2"/>
  <c r="J19" i="2"/>
  <c r="J9" i="2" s="1"/>
  <c r="J160" i="2" s="1"/>
  <c r="H19" i="2"/>
  <c r="H9" i="2" s="1"/>
  <c r="H160" i="2" s="1"/>
  <c r="F19" i="2"/>
  <c r="D19" i="2"/>
  <c r="C19" i="2"/>
  <c r="J10" i="2"/>
  <c r="H10" i="2"/>
  <c r="F10" i="2"/>
  <c r="D10" i="2"/>
  <c r="C10" i="2"/>
  <c r="C9" i="2" l="1"/>
  <c r="C160" i="2" s="1"/>
  <c r="D9" i="2"/>
  <c r="D160" i="2" s="1"/>
  <c r="F9" i="2"/>
  <c r="F160" i="2" s="1"/>
</calcChain>
</file>

<file path=xl/sharedStrings.xml><?xml version="1.0" encoding="utf-8"?>
<sst xmlns="http://schemas.openxmlformats.org/spreadsheetml/2006/main" count="295" uniqueCount="279">
  <si>
    <t>Chỉ tiêu</t>
  </si>
  <si>
    <t>Mã
khoản mục</t>
  </si>
  <si>
    <t>Kế hoạch năm</t>
  </si>
  <si>
    <t>Thực hiện trong kỳ</t>
  </si>
  <si>
    <t>Thực hiện từ đầu năm</t>
  </si>
  <si>
    <t>Thực hiện cùng kỳ trước</t>
  </si>
  <si>
    <t>Thực hiện lũy kế năm trước</t>
  </si>
  <si>
    <t>Giá trị</t>
  </si>
  <si>
    <t>Tỷ lệ</t>
  </si>
  <si>
    <t>Chi phí sản xuất kinh doanh</t>
  </si>
  <si>
    <t>Chi phí nhân viên</t>
  </si>
  <si>
    <t>Chi phí tiền lương</t>
  </si>
  <si>
    <t>62711</t>
  </si>
  <si>
    <t>Phụ cấp đội PCCC cơ sở</t>
  </si>
  <si>
    <t>627121</t>
  </si>
  <si>
    <t>Phụ cấp an toàn, vệ sinh viên</t>
  </si>
  <si>
    <t>627122</t>
  </si>
  <si>
    <t>Tiền ăn giữa ca</t>
  </si>
  <si>
    <t>62713</t>
  </si>
  <si>
    <t>Kinh phí công đoàn</t>
  </si>
  <si>
    <t>62714</t>
  </si>
  <si>
    <t>Chi phí bảo hiểm xã hội</t>
  </si>
  <si>
    <t>62715</t>
  </si>
  <si>
    <t>Chi phí bảo hiểm y tế</t>
  </si>
  <si>
    <t>62716</t>
  </si>
  <si>
    <t>Chi phí bảo hiểm thất nghiệp</t>
  </si>
  <si>
    <t>62717</t>
  </si>
  <si>
    <t>Chi phí nguyên, vật liệu</t>
  </si>
  <si>
    <t>Chi phí nhiên liệu</t>
  </si>
  <si>
    <t>62721</t>
  </si>
  <si>
    <t>Vật tư vệ sinh</t>
  </si>
  <si>
    <t>62722</t>
  </si>
  <si>
    <t>Vật tư, tem, nhãn kiểm tra an ninh hàng không</t>
  </si>
  <si>
    <t>62723</t>
  </si>
  <si>
    <t>Vật liệu phục vụ chuyến bay</t>
  </si>
  <si>
    <t>62724</t>
  </si>
  <si>
    <t>Vật liệu xử lý chất thải, hóa chất hệ thống lạnh</t>
  </si>
  <si>
    <t>62725</t>
  </si>
  <si>
    <t>Vật tư in ấn vé sân đường, hóa đơn</t>
  </si>
  <si>
    <t>62726</t>
  </si>
  <si>
    <t>Chi phí nhiên liệu phục vụ công tác</t>
  </si>
  <si>
    <t>62727</t>
  </si>
  <si>
    <t>Chi phí dụng cụ sản xuất</t>
  </si>
  <si>
    <t>Chi phí mua sắm công cụ dụng cụ</t>
  </si>
  <si>
    <t>Công cụ dụng cụ lao động</t>
  </si>
  <si>
    <t>627311</t>
  </si>
  <si>
    <t>Trang thiết bị văn phòng</t>
  </si>
  <si>
    <t>627312</t>
  </si>
  <si>
    <t>Trang thiết bị và bảng biểu nhà ga</t>
  </si>
  <si>
    <t>627313</t>
  </si>
  <si>
    <t>Bàn ghế, tủ, quầy ,vật dụng khác</t>
  </si>
  <si>
    <t>627314</t>
  </si>
  <si>
    <t>Chi phí sửa chữa công cụ dụng cụ</t>
  </si>
  <si>
    <t>627321</t>
  </si>
  <si>
    <t>Chi phí sửa chữa công cụ dụng cụ (khối gián tiếp)</t>
  </si>
  <si>
    <t>627322</t>
  </si>
  <si>
    <t>Chi phí khấu hao TSCĐ</t>
  </si>
  <si>
    <t>62741</t>
  </si>
  <si>
    <t>Thuế, phí, và lệ phí</t>
  </si>
  <si>
    <t>Thuế môn bài</t>
  </si>
  <si>
    <t>62751</t>
  </si>
  <si>
    <t>Thuế đất và tiền thuê đất</t>
  </si>
  <si>
    <t>62752</t>
  </si>
  <si>
    <t>Chi phí sửa chữa, bảo dưỡng tài sản</t>
  </si>
  <si>
    <t>Chi phí sửa chữa</t>
  </si>
  <si>
    <t>Chi phí sửa chữa nhà cửa, vật kiến trúc</t>
  </si>
  <si>
    <t>Sửa chữa nhà ga quốc nội</t>
  </si>
  <si>
    <t>62762101</t>
  </si>
  <si>
    <t>Sửa chữa bến bãi ô tô, sân đường</t>
  </si>
  <si>
    <t>62762103</t>
  </si>
  <si>
    <t>Chi phí sửa chữa mương thoát nước</t>
  </si>
  <si>
    <t>62762104</t>
  </si>
  <si>
    <t>Chi phí cắt cỏ, nạo vét mương thoát nước</t>
  </si>
  <si>
    <t>62762105</t>
  </si>
  <si>
    <t>Sửa chữa sân đậu</t>
  </si>
  <si>
    <t>62762106</t>
  </si>
  <si>
    <t>Sửa chữa hàng rào</t>
  </si>
  <si>
    <t>62762107</t>
  </si>
  <si>
    <t>Sửa chữa nhà cửa, vật kiến trúc khác</t>
  </si>
  <si>
    <t>62762188</t>
  </si>
  <si>
    <t>Sửa chữa nhà cửa, vật kiến trúc khác (khối gián tiếp)</t>
  </si>
  <si>
    <t>62762189</t>
  </si>
  <si>
    <t>Chi phí sửa chữa máy móc thiết bị</t>
  </si>
  <si>
    <t>Sửa chữa hệ thống băng chuyền</t>
  </si>
  <si>
    <t>62762201</t>
  </si>
  <si>
    <t>Sửa chữa hệ thống ống lồng</t>
  </si>
  <si>
    <t>62762202</t>
  </si>
  <si>
    <t>Sửa chữa hệ thống thang cuốn, thang máy</t>
  </si>
  <si>
    <t>62762203</t>
  </si>
  <si>
    <t>Sửa chữa hệ thống thông tin liên lạc</t>
  </si>
  <si>
    <t>62762204</t>
  </si>
  <si>
    <t>Sửa chữa hệ thống quầy thủ tục, thiết bị nội thất</t>
  </si>
  <si>
    <t>62762205</t>
  </si>
  <si>
    <t>Sửa chữa hệ thống máy móc, thiết bị làm thủ tục</t>
  </si>
  <si>
    <t>62762206</t>
  </si>
  <si>
    <t>Sửa chữa hệ thống thiết bị vệ sinh</t>
  </si>
  <si>
    <t>62762207</t>
  </si>
  <si>
    <t>Sửa chữa máy móc thiết bị kiểm tra an ninh</t>
  </si>
  <si>
    <t>62762208</t>
  </si>
  <si>
    <t>Sửa chữa máy móc, thiết bị , hệ thống thiết bị điện</t>
  </si>
  <si>
    <t>62762209</t>
  </si>
  <si>
    <t>Sửa chữa máy móc, thiết bị , hệ thống thiết bị lạnh</t>
  </si>
  <si>
    <t>62762210</t>
  </si>
  <si>
    <t>Sửa chữa thiết bị PCCC</t>
  </si>
  <si>
    <t>62762211</t>
  </si>
  <si>
    <t>Sửa chữa hệ thống xử lý chất thải</t>
  </si>
  <si>
    <t>62762212</t>
  </si>
  <si>
    <t>Sửa chữa hệ thống cấp nước</t>
  </si>
  <si>
    <t>62762213</t>
  </si>
  <si>
    <t>Sửa chữa hệ thống thoát nước</t>
  </si>
  <si>
    <t>62762214</t>
  </si>
  <si>
    <t>Sửa chữa hệ thống trạm thu phí</t>
  </si>
  <si>
    <t>62762215</t>
  </si>
  <si>
    <t>Sửa chữa hệ thống camera, CCTV</t>
  </si>
  <si>
    <t>62762217</t>
  </si>
  <si>
    <t>Sửa chữa máy móc thiết bị khác</t>
  </si>
  <si>
    <t>62762288</t>
  </si>
  <si>
    <t>Sửa chữa máy móc thiết bị (khối gián tiếp)</t>
  </si>
  <si>
    <t>62762289</t>
  </si>
  <si>
    <t>Chi phí sửa chữa phương tiện vận tải</t>
  </si>
  <si>
    <t>Sửa chữa phương tiện vận tải đặc chủng phục vụ bay</t>
  </si>
  <si>
    <t>62762301</t>
  </si>
  <si>
    <t>Sửa chữa xe cứu hỏa, cứu thương, xe chuyên dùng</t>
  </si>
  <si>
    <t>62762302</t>
  </si>
  <si>
    <t>Sửa chữa xe ô tô, xe tải các loại</t>
  </si>
  <si>
    <t>62762303</t>
  </si>
  <si>
    <t>Sửa chữa xe ô tô (khối gián tiếp)</t>
  </si>
  <si>
    <t>62762304</t>
  </si>
  <si>
    <t>Chi phí sửa chữa tài sản KCHTHK</t>
  </si>
  <si>
    <t>Sửa chữa đường hạ cất cánh, đường lăn</t>
  </si>
  <si>
    <t>62762811</t>
  </si>
  <si>
    <t>Sơn tín hiệu, đường băng, đường lăn, tẩy vệt cao su</t>
  </si>
  <si>
    <t>62762812</t>
  </si>
  <si>
    <t>Chi phí sửa chữa mương thoát nước (khu bay)</t>
  </si>
  <si>
    <t>62762814</t>
  </si>
  <si>
    <t>Chi phí cắt cỏ, nạo vét mương thoát nước (khu bay)</t>
  </si>
  <si>
    <t>62762815</t>
  </si>
  <si>
    <t>Sửa chữa vật kiến trúc khác (khu bay)</t>
  </si>
  <si>
    <t>62762818</t>
  </si>
  <si>
    <t>Sửa chữa máy móc, thiết bị chỉ huy dẫn đường</t>
  </si>
  <si>
    <t>62762821</t>
  </si>
  <si>
    <t>Sửa chữa hệ thống điện khu bay</t>
  </si>
  <si>
    <t>62762823</t>
  </si>
  <si>
    <t>Sửa chữa hệ thống đèn đêm (khu bay)</t>
  </si>
  <si>
    <t>62762824</t>
  </si>
  <si>
    <t>Sửa chữa máy móc thiết bị khác (khu bay)</t>
  </si>
  <si>
    <t>62762828</t>
  </si>
  <si>
    <t>Sửa chữa phương tiện vận tải phục vụ trong khu bay</t>
  </si>
  <si>
    <t>62762838</t>
  </si>
  <si>
    <t>Chi phí bảo dưỡng tài sản</t>
  </si>
  <si>
    <t>Chi phí bảo dưỡng tài sản KCHTHK</t>
  </si>
  <si>
    <t>Bảo dưỡng đường hạ cất cánh, đường lăn</t>
  </si>
  <si>
    <t>62763811</t>
  </si>
  <si>
    <t>62763812</t>
  </si>
  <si>
    <t>Chi phí bảo dưỡng mương thoát nước (khu bay)</t>
  </si>
  <si>
    <t>62763814</t>
  </si>
  <si>
    <t>62763815</t>
  </si>
  <si>
    <t>Bảo dưỡng vật kiến trúc khác (khu bay)</t>
  </si>
  <si>
    <t>62763818</t>
  </si>
  <si>
    <t>Bảo dưỡng máy móc, thiết bị chỉ huy dẫn đường</t>
  </si>
  <si>
    <t>62763821</t>
  </si>
  <si>
    <t>Bảo dưỡng hệ thống điện khu bay</t>
  </si>
  <si>
    <t>62763823</t>
  </si>
  <si>
    <t>Bảo dưỡng hệ thống đèn đêm (khu bay)</t>
  </si>
  <si>
    <t>62763824</t>
  </si>
  <si>
    <t>Bảo dưỡng máy móc thiết bị khác (khu bay)</t>
  </si>
  <si>
    <t>62763828</t>
  </si>
  <si>
    <t>Bảo dưỡng phương tiện vận tải phục vụ trong khu bay</t>
  </si>
  <si>
    <t>62763838</t>
  </si>
  <si>
    <t>Chi phí dịch vụ mua ngoài</t>
  </si>
  <si>
    <t>Chi phí thuê dịch vụ vệ sinh</t>
  </si>
  <si>
    <t>627701</t>
  </si>
  <si>
    <t>Chi phí thuê dịch vụ bảo vệ</t>
  </si>
  <si>
    <t>627702</t>
  </si>
  <si>
    <t>Chi phí thuê dịch vụ vệ sinh môi trường, chất thải</t>
  </si>
  <si>
    <t>627703</t>
  </si>
  <si>
    <t>Chi dịch vụ VIP, khách hàng C</t>
  </si>
  <si>
    <t>627704</t>
  </si>
  <si>
    <t>Chi thuê vận chuyển bốc xếp</t>
  </si>
  <si>
    <t>627706</t>
  </si>
  <si>
    <t>Chi phí thông tin liên lạc</t>
  </si>
  <si>
    <t>627708</t>
  </si>
  <si>
    <t>Chi phí tiền điện</t>
  </si>
  <si>
    <t>627709</t>
  </si>
  <si>
    <t>Chi phí tiền nước</t>
  </si>
  <si>
    <t>627710</t>
  </si>
  <si>
    <t>Chi bảo hiểm hàng không, phi hàng không</t>
  </si>
  <si>
    <t>627712</t>
  </si>
  <si>
    <t>Chi đào tạo, huấn luyện</t>
  </si>
  <si>
    <t>627715</t>
  </si>
  <si>
    <t>Chi dịch vụ tư vấn, ISO</t>
  </si>
  <si>
    <t>627716</t>
  </si>
  <si>
    <t>Chi bay hiệu chuẩn thiết bị</t>
  </si>
  <si>
    <t>627718</t>
  </si>
  <si>
    <t>Chi phí dịch vụ giám sát môi trường</t>
  </si>
  <si>
    <t>627720</t>
  </si>
  <si>
    <t>Chi phí kiểm định</t>
  </si>
  <si>
    <t>627721</t>
  </si>
  <si>
    <t>Chi thuê/ mua dịch vụ khác</t>
  </si>
  <si>
    <t>627788</t>
  </si>
  <si>
    <t>Chi phí bằng tiền khác</t>
  </si>
  <si>
    <t>Chi trang phục ngành</t>
  </si>
  <si>
    <t>627801</t>
  </si>
  <si>
    <t>Chăm sóc sức khỏe người lao động (Bdđh+Ksk)</t>
  </si>
  <si>
    <t>627803</t>
  </si>
  <si>
    <t>Chi phí bảo hộ lao động</t>
  </si>
  <si>
    <t>627804</t>
  </si>
  <si>
    <t>Văn phòng phẩm</t>
  </si>
  <si>
    <t>627806</t>
  </si>
  <si>
    <t>Chi phí giay , mực in, mực photo</t>
  </si>
  <si>
    <t>627807</t>
  </si>
  <si>
    <t>Chi mua , in ấn , pho to chứng từ, tài liệu</t>
  </si>
  <si>
    <t>627808</t>
  </si>
  <si>
    <t>Chi hội nghị, khánh thành</t>
  </si>
  <si>
    <t>627809</t>
  </si>
  <si>
    <t>Chi phí giao dịch</t>
  </si>
  <si>
    <t>627810</t>
  </si>
  <si>
    <t>Công tác phí nước ngoài</t>
  </si>
  <si>
    <t>627811</t>
  </si>
  <si>
    <t>Công tác phí trong nước</t>
  </si>
  <si>
    <t>627812</t>
  </si>
  <si>
    <t>Lệ phí giao thông, cầu đường, đăng kiểm</t>
  </si>
  <si>
    <t>627813</t>
  </si>
  <si>
    <t>Hoa hồng , môi giới</t>
  </si>
  <si>
    <t>627814</t>
  </si>
  <si>
    <t>Chi phí chăm sóc cây cảnh và trang trí nhà ga, văn phòng</t>
  </si>
  <si>
    <t>627816</t>
  </si>
  <si>
    <t>Chi phí cấp phép, chứng nhận</t>
  </si>
  <si>
    <t>627817</t>
  </si>
  <si>
    <t>Chi cho công tác PCCC</t>
  </si>
  <si>
    <t>627818</t>
  </si>
  <si>
    <t>Chi y tế</t>
  </si>
  <si>
    <t>627820</t>
  </si>
  <si>
    <t>Chi công tác Đảng</t>
  </si>
  <si>
    <t>627821</t>
  </si>
  <si>
    <t>Thủ tục phí ngân hàng</t>
  </si>
  <si>
    <t>627823</t>
  </si>
  <si>
    <t>Trợ cấp thôi việc</t>
  </si>
  <si>
    <t>627824</t>
  </si>
  <si>
    <t>Chi phí người lao động (phúc lợi)</t>
  </si>
  <si>
    <t>627825</t>
  </si>
  <si>
    <t>Chi cho công tác an ninh, an toàn hàng không</t>
  </si>
  <si>
    <t>627826</t>
  </si>
  <si>
    <t>Chi phí khác</t>
  </si>
  <si>
    <t>627888</t>
  </si>
  <si>
    <t>Giá vốn hàng bán</t>
  </si>
  <si>
    <t>Gía vốn hàng bán</t>
  </si>
  <si>
    <t>6321</t>
  </si>
  <si>
    <t>Chi phí bán hàng</t>
  </si>
  <si>
    <t>Chi phí nguyên vật liệu, bao bì</t>
  </si>
  <si>
    <t>6412</t>
  </si>
  <si>
    <t>Chi phí công cụ dụng cụ, đồ dùng</t>
  </si>
  <si>
    <t>6413</t>
  </si>
  <si>
    <t>6414</t>
  </si>
  <si>
    <t>Chi phí bảo dưỡng, sửa chữa</t>
  </si>
  <si>
    <t>6416</t>
  </si>
  <si>
    <t>Chi phí dịch vụ thuê/mua ngoài</t>
  </si>
  <si>
    <t>Thông tin liên lạc</t>
  </si>
  <si>
    <t>641708</t>
  </si>
  <si>
    <t>Chi phí điện</t>
  </si>
  <si>
    <t>641709</t>
  </si>
  <si>
    <t>Chi phí nước</t>
  </si>
  <si>
    <t>641710</t>
  </si>
  <si>
    <t>Chi phí dịch vụ thuê/mua ngoài khác</t>
  </si>
  <si>
    <t>641788</t>
  </si>
  <si>
    <t>Trang phục ngành</t>
  </si>
  <si>
    <t>641801</t>
  </si>
  <si>
    <t>Chăm sóc sức khỏe người lao động</t>
  </si>
  <si>
    <t>641803</t>
  </si>
  <si>
    <t>641806</t>
  </si>
  <si>
    <t>Công tác phí</t>
  </si>
  <si>
    <t>641812</t>
  </si>
  <si>
    <t>Cấp phép an ninh</t>
  </si>
  <si>
    <t>641817</t>
  </si>
  <si>
    <t>641823</t>
  </si>
  <si>
    <t>Chi phí hồ sơ đấu thầu</t>
  </si>
  <si>
    <t>8116</t>
  </si>
  <si>
    <t>8118</t>
  </si>
  <si>
    <t>Tổng cộng: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</si>
</sst>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%;\(#,##0.00\ %\);\ "/>
    <numFmt numFmtId="165" formatCode="#,##0;\(#,##0\);\ "/>
    <numFmt numFmtId="166" formatCode="#,##0;\(#,##0\);"/>
  </numFmts>
  <fonts count="6" x14ac:knownFonts="1">
    <font>
      <sz val="11"/>
      <color theme="1"/>
      <name val="Arial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i/>
      <sz val="7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FAFAD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7" borderId="9" xfId="0" applyFont="1" applyFill="1" applyBorder="1" applyAlignment="1">
      <alignment horizontal="left" vertical="top" wrapText="1"/>
    </xf>
    <xf numFmtId="0" fontId="2" fillId="7" borderId="11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 indent="3"/>
    </xf>
    <xf numFmtId="0" fontId="2" fillId="6" borderId="10" xfId="0" applyFont="1" applyFill="1" applyBorder="1" applyAlignment="1">
      <alignment horizontal="left" vertical="top" wrapText="1" indent="3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166" fontId="2" fillId="5" borderId="8" xfId="0" applyNumberFormat="1" applyFont="1" applyFill="1" applyBorder="1" applyAlignment="1">
      <alignment horizontal="right" vertical="top"/>
    </xf>
    <xf numFmtId="165" fontId="2" fillId="5" borderId="8" xfId="0" applyNumberFormat="1" applyFont="1" applyFill="1" applyBorder="1" applyAlignment="1">
      <alignment horizontal="right" vertical="top"/>
    </xf>
    <xf numFmtId="164" fontId="2" fillId="5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/>
    </xf>
    <xf numFmtId="166" fontId="3" fillId="2" borderId="8" xfId="0" applyNumberFormat="1" applyFont="1" applyFill="1" applyBorder="1" applyAlignment="1">
      <alignment horizontal="right" vertical="top"/>
    </xf>
    <xf numFmtId="165" fontId="3" fillId="2" borderId="8" xfId="0" applyNumberFormat="1" applyFont="1" applyFill="1" applyBorder="1" applyAlignment="1">
      <alignment horizontal="right" vertical="top"/>
    </xf>
    <xf numFmtId="164" fontId="3" fillId="2" borderId="8" xfId="0" applyNumberFormat="1" applyFont="1" applyFill="1" applyBorder="1" applyAlignment="1">
      <alignment horizontal="right" vertical="top"/>
    </xf>
    <xf numFmtId="166" fontId="2" fillId="8" borderId="9" xfId="0" applyNumberFormat="1" applyFont="1" applyFill="1" applyBorder="1" applyAlignment="1">
      <alignment horizontal="right" vertical="top"/>
    </xf>
    <xf numFmtId="165" fontId="2" fillId="8" borderId="9" xfId="0" applyNumberFormat="1" applyFont="1" applyFill="1" applyBorder="1" applyAlignment="1">
      <alignment horizontal="right" vertical="top"/>
    </xf>
    <xf numFmtId="164" fontId="2" fillId="8" borderId="9" xfId="0" applyNumberFormat="1" applyFont="1" applyFill="1" applyBorder="1" applyAlignment="1">
      <alignment horizontal="right" vertical="top"/>
    </xf>
    <xf numFmtId="0" fontId="2" fillId="5" borderId="10" xfId="0" applyFont="1" applyFill="1" applyBorder="1" applyAlignment="1">
      <alignment horizontal="left" vertical="top" wrapText="1"/>
    </xf>
    <xf numFmtId="0" fontId="2" fillId="5" borderId="10" xfId="0" applyFont="1" applyFill="1" applyBorder="1" applyAlignment="1">
      <alignment horizontal="left" vertical="top" wrapText="1" indent="1"/>
    </xf>
    <xf numFmtId="0" fontId="3" fillId="2" borderId="10" xfId="0" applyFont="1" applyFill="1" applyBorder="1" applyAlignment="1">
      <alignment horizontal="left" vertical="top" wrapText="1" indent="2"/>
    </xf>
    <xf numFmtId="0" fontId="2" fillId="5" borderId="10" xfId="0" applyFont="1" applyFill="1" applyBorder="1" applyAlignment="1">
      <alignment horizontal="left" vertical="top" wrapText="1" indent="2"/>
    </xf>
    <xf numFmtId="0" fontId="3" fillId="2" borderId="10" xfId="0" applyFont="1" applyFill="1" applyBorder="1" applyAlignment="1">
      <alignment horizontal="left" vertical="top" wrapText="1" indent="3"/>
    </xf>
    <xf numFmtId="0" fontId="3" fillId="2" borderId="10" xfId="0" applyFont="1" applyFill="1" applyBorder="1" applyAlignment="1">
      <alignment horizontal="left" vertical="top" wrapText="1" indent="4"/>
    </xf>
    <xf numFmtId="0" fontId="2" fillId="5" borderId="10" xfId="0" applyFont="1" applyFill="1" applyBorder="1" applyAlignment="1">
      <alignment horizontal="left" vertical="top" wrapText="1" indent="3"/>
    </xf>
    <xf numFmtId="0" fontId="3" fillId="2" borderId="10" xfId="0" applyFont="1" applyFill="1" applyBorder="1" applyAlignment="1">
      <alignment horizontal="left" vertical="top" wrapText="1" indent="1"/>
    </xf>
    <xf numFmtId="164" fontId="2" fillId="5" borderId="12" xfId="0" applyNumberFormat="1" applyFont="1" applyFill="1" applyBorder="1" applyAlignment="1">
      <alignment horizontal="right" vertical="top"/>
    </xf>
    <xf numFmtId="164" fontId="3" fillId="2" borderId="12" xfId="0" applyNumberFormat="1" applyFont="1" applyFill="1" applyBorder="1" applyAlignment="1">
      <alignment horizontal="right" vertical="top"/>
    </xf>
    <xf numFmtId="164" fontId="2" fillId="8" borderId="13" xfId="0" applyNumberFormat="1" applyFont="1" applyFill="1" applyBorder="1" applyAlignment="1">
      <alignment horizontal="right" vertical="top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5</xdr:col>
      <xdr:colOff>352425</xdr:colOff>
      <xdr:row>1</xdr:row>
      <xdr:rowOff>9525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7B179E4D-1D33-4364-B213-49FCF0A09162}"/>
            </a:ext>
          </a:extLst>
        </xdr:cNvPr>
        <xdr:cNvSpPr txBox="1"/>
      </xdr:nvSpPr>
      <xdr:spPr>
        <a:xfrm>
          <a:off x="9525" y="9525"/>
          <a:ext cx="6496050" cy="1714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9525" tIns="9525" rIns="9525" bIns="9525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CẢNG HÀNG KHÔNG QUỐC TẾ CẦN THƠ - CN TCT CẢNG HÀNG KHÔNG VIỆT NAM - CTCP</a:t>
          </a:r>
        </a:p>
      </xdr:txBody>
    </xdr:sp>
    <xdr:clientData/>
  </xdr:twoCellAnchor>
  <xdr:twoCellAnchor editAs="oneCell">
    <xdr:from>
      <xdr:col>0</xdr:col>
      <xdr:colOff>9525</xdr:colOff>
      <xdr:row>1</xdr:row>
      <xdr:rowOff>9525</xdr:rowOff>
    </xdr:from>
    <xdr:to>
      <xdr:col>5</xdr:col>
      <xdr:colOff>352425</xdr:colOff>
      <xdr:row>2</xdr:row>
      <xdr:rowOff>9525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id="{2FDC57A4-3777-49A5-9ADE-C4373FC54FAE}"/>
            </a:ext>
          </a:extLst>
        </xdr:cNvPr>
        <xdr:cNvSpPr txBox="1"/>
      </xdr:nvSpPr>
      <xdr:spPr>
        <a:xfrm>
          <a:off x="9525" y="180975"/>
          <a:ext cx="6496050" cy="1905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Địa chỉ: Số 179B Lê Hồng Phong, Phường Thới An Đông, Thành phố Cần Thơ, Việt Nam</a:t>
          </a:r>
        </a:p>
      </xdr:txBody>
    </xdr:sp>
    <xdr:clientData/>
  </xdr:twoCellAnchor>
  <xdr:twoCellAnchor editAs="oneCell">
    <xdr:from>
      <xdr:col>0</xdr:col>
      <xdr:colOff>9525</xdr:colOff>
      <xdr:row>2</xdr:row>
      <xdr:rowOff>9525</xdr:rowOff>
    </xdr:from>
    <xdr:to>
      <xdr:col>11</xdr:col>
      <xdr:colOff>9525</xdr:colOff>
      <xdr:row>3</xdr:row>
      <xdr:rowOff>9525</xdr:rowOff>
    </xdr:to>
    <xdr:sp macro="" textlink="" fLocksText="0">
      <xdr:nvSpPr>
        <xdr:cNvPr id="4" name="TextBox 3">
          <a:extLst>
            <a:ext uri="{FF2B5EF4-FFF2-40B4-BE49-F238E27FC236}">
              <a16:creationId xmlns:a16="http://schemas.microsoft.com/office/drawing/2014/main" id="{2545C8B1-9982-437A-8A1E-376A370D3240}"/>
            </a:ext>
          </a:extLst>
        </xdr:cNvPr>
        <xdr:cNvSpPr txBox="1"/>
      </xdr:nvSpPr>
      <xdr:spPr>
        <a:xfrm>
          <a:off x="9525" y="371475"/>
          <a:ext cx="11296650" cy="24765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425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BÁO CÁO THỰC HIỆN CHI PHÍ</a:t>
          </a:r>
        </a:p>
      </xdr:txBody>
    </xdr:sp>
    <xdr:clientData/>
  </xdr:twoCellAnchor>
  <xdr:twoCellAnchor editAs="oneCell">
    <xdr:from>
      <xdr:col>0</xdr:col>
      <xdr:colOff>9525</xdr:colOff>
      <xdr:row>3</xdr:row>
      <xdr:rowOff>9525</xdr:rowOff>
    </xdr:from>
    <xdr:to>
      <xdr:col>11</xdr:col>
      <xdr:colOff>9525</xdr:colOff>
      <xdr:row>4</xdr:row>
      <xdr:rowOff>9525</xdr:rowOff>
    </xdr:to>
    <xdr:sp macro="" textlink="" fLocksText="0">
      <xdr:nvSpPr>
        <xdr:cNvPr id="5" name="TextBox 4">
          <a:extLst>
            <a:ext uri="{FF2B5EF4-FFF2-40B4-BE49-F238E27FC236}">
              <a16:creationId xmlns:a16="http://schemas.microsoft.com/office/drawing/2014/main" id="{27ACE3A5-33A8-4C0E-B386-6674270E574B}"/>
            </a:ext>
          </a:extLst>
        </xdr:cNvPr>
        <xdr:cNvSpPr txBox="1"/>
      </xdr:nvSpPr>
      <xdr:spPr>
        <a:xfrm>
          <a:off x="9525" y="619125"/>
          <a:ext cx="11296650" cy="1905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Năm 2026</a:t>
          </a:r>
        </a:p>
      </xdr:txBody>
    </xdr:sp>
    <xdr:clientData/>
  </xdr:twoCellAnchor>
  <xdr:twoCellAnchor editAs="oneCell">
    <xdr:from>
      <xdr:col>0</xdr:col>
      <xdr:colOff>9525</xdr:colOff>
      <xdr:row>4</xdr:row>
      <xdr:rowOff>9525</xdr:rowOff>
    </xdr:from>
    <xdr:to>
      <xdr:col>11</xdr:col>
      <xdr:colOff>9525</xdr:colOff>
      <xdr:row>5</xdr:row>
      <xdr:rowOff>9525</xdr:rowOff>
    </xdr:to>
    <xdr:sp macro="" textlink="" fLocksText="0">
      <xdr:nvSpPr>
        <xdr:cNvPr id="6" name="TextBox 5">
          <a:extLst>
            <a:ext uri="{FF2B5EF4-FFF2-40B4-BE49-F238E27FC236}">
              <a16:creationId xmlns:a16="http://schemas.microsoft.com/office/drawing/2014/main" id="{65B7F24C-E3B8-4281-83D6-D03A0EFC1A3C}"/>
            </a:ext>
          </a:extLst>
        </xdr:cNvPr>
        <xdr:cNvSpPr txBox="1"/>
      </xdr:nvSpPr>
      <xdr:spPr>
        <a:xfrm>
          <a:off x="9525" y="809625"/>
          <a:ext cx="11296650" cy="1905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Đơn vị: Cảng Hàng không Quốc tế Cần Thơ - CN TCT Cảng Hàng không Việt Nam - CTCP</a:t>
          </a:r>
        </a:p>
      </xdr:txBody>
    </xdr:sp>
    <xdr:clientData/>
  </xdr:twoCellAnchor>
  <xdr:twoCellAnchor editAs="oneCell">
    <xdr:from>
      <xdr:col>0</xdr:col>
      <xdr:colOff>9525</xdr:colOff>
      <xdr:row>5</xdr:row>
      <xdr:rowOff>9525</xdr:rowOff>
    </xdr:from>
    <xdr:to>
      <xdr:col>11</xdr:col>
      <xdr:colOff>9525</xdr:colOff>
      <xdr:row>6</xdr:row>
      <xdr:rowOff>9525</xdr:rowOff>
    </xdr:to>
    <xdr:sp macro="" textlink="" fLocksText="0">
      <xdr:nvSpPr>
        <xdr:cNvPr id="7" name="TextBox 6">
          <a:extLst>
            <a:ext uri="{FF2B5EF4-FFF2-40B4-BE49-F238E27FC236}">
              <a16:creationId xmlns:a16="http://schemas.microsoft.com/office/drawing/2014/main" id="{6837E8B6-6DB1-45D3-BC31-29FA7513E967}"/>
            </a:ext>
          </a:extLst>
        </xdr:cNvPr>
        <xdr:cNvSpPr txBox="1"/>
      </xdr:nvSpPr>
      <xdr:spPr>
        <a:xfrm>
          <a:off x="9525" y="1000125"/>
          <a:ext cx="11296650" cy="1905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0"/>
        <a:lstStyle/>
        <a:p>
          <a:pPr algn="l">
            <a:defRPr lang="en-US" sz="7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7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Thời gian in 27/10/2026 11:18:07</a:t>
          </a:r>
        </a:p>
      </xdr:txBody>
    </xdr:sp>
    <xdr:clientData/>
  </xdr:twoCellAnchor>
  <xdr:twoCellAnchor editAs="oneCell">
    <xdr:from>
      <xdr:col>0</xdr:col>
      <xdr:colOff>2047875</xdr:colOff>
      <xdr:row>160</xdr:row>
      <xdr:rowOff>9525</xdr:rowOff>
    </xdr:from>
    <xdr:to>
      <xdr:col>11</xdr:col>
      <xdr:colOff>9525</xdr:colOff>
      <xdr:row>161</xdr:row>
      <xdr:rowOff>9525</xdr:rowOff>
    </xdr:to>
    <xdr:sp macro="" textlink="" fLocksText="0">
      <xdr:nvSpPr>
        <xdr:cNvPr id="8" name="TextBox 7">
          <a:extLst>
            <a:ext uri="{FF2B5EF4-FFF2-40B4-BE49-F238E27FC236}">
              <a16:creationId xmlns:a16="http://schemas.microsoft.com/office/drawing/2014/main" id="{B2B05493-AA06-4041-9F71-04D59DC9FF18}"/>
            </a:ext>
          </a:extLst>
        </xdr:cNvPr>
        <xdr:cNvSpPr txBox="1"/>
      </xdr:nvSpPr>
      <xdr:spPr>
        <a:xfrm>
          <a:off x="2047875" y="37099875"/>
          <a:ext cx="9258300" cy="25717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b" anchorCtr="1"/>
        <a:lstStyle/>
        <a:p>
          <a:pPr algn="ctr">
            <a:def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Ngày . . . . . tháng . . . . . năm . . . . . . .</a:t>
          </a:r>
        </a:p>
      </xdr:txBody>
    </xdr:sp>
    <xdr:clientData/>
  </xdr:twoCellAnchor>
  <xdr:twoCellAnchor editAs="oneCell">
    <xdr:from>
      <xdr:col>0</xdr:col>
      <xdr:colOff>9525</xdr:colOff>
      <xdr:row>161</xdr:row>
      <xdr:rowOff>9525</xdr:rowOff>
    </xdr:from>
    <xdr:to>
      <xdr:col>0</xdr:col>
      <xdr:colOff>2038350</xdr:colOff>
      <xdr:row>162</xdr:row>
      <xdr:rowOff>9525</xdr:rowOff>
    </xdr:to>
    <xdr:sp macro="" textlink="" fLocksText="0">
      <xdr:nvSpPr>
        <xdr:cNvPr id="9" name="TextBox 8">
          <a:extLst>
            <a:ext uri="{FF2B5EF4-FFF2-40B4-BE49-F238E27FC236}">
              <a16:creationId xmlns:a16="http://schemas.microsoft.com/office/drawing/2014/main" id="{0CBC53E7-F83D-4FCE-AFB6-17C25E928863}"/>
            </a:ext>
          </a:extLst>
        </xdr:cNvPr>
        <xdr:cNvSpPr txBox="1"/>
      </xdr:nvSpPr>
      <xdr:spPr>
        <a:xfrm>
          <a:off x="9525" y="37357050"/>
          <a:ext cx="2028825" cy="18097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Kế toán ghi sổ</a:t>
          </a:r>
        </a:p>
      </xdr:txBody>
    </xdr:sp>
    <xdr:clientData/>
  </xdr:twoCellAnchor>
  <xdr:twoCellAnchor editAs="oneCell">
    <xdr:from>
      <xdr:col>0</xdr:col>
      <xdr:colOff>2047875</xdr:colOff>
      <xdr:row>161</xdr:row>
      <xdr:rowOff>9525</xdr:rowOff>
    </xdr:from>
    <xdr:to>
      <xdr:col>11</xdr:col>
      <xdr:colOff>9525</xdr:colOff>
      <xdr:row>162</xdr:row>
      <xdr:rowOff>9525</xdr:rowOff>
    </xdr:to>
    <xdr:sp macro="" textlink="" fLocksText="0">
      <xdr:nvSpPr>
        <xdr:cNvPr id="10" name="TextBox 9">
          <a:extLst>
            <a:ext uri="{FF2B5EF4-FFF2-40B4-BE49-F238E27FC236}">
              <a16:creationId xmlns:a16="http://schemas.microsoft.com/office/drawing/2014/main" id="{FF76930F-EDD5-41C8-B497-C378A1FBE03E}"/>
            </a:ext>
          </a:extLst>
        </xdr:cNvPr>
        <xdr:cNvSpPr txBox="1"/>
      </xdr:nvSpPr>
      <xdr:spPr>
        <a:xfrm>
          <a:off x="2047875" y="37357050"/>
          <a:ext cx="9258300" cy="18097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Kế toán trưởng</a:t>
          </a:r>
        </a:p>
      </xdr:txBody>
    </xdr:sp>
    <xdr:clientData/>
  </xdr:twoCellAnchor>
  <xdr:twoCellAnchor editAs="oneCell">
    <xdr:from>
      <xdr:col>0</xdr:col>
      <xdr:colOff>9525</xdr:colOff>
      <xdr:row>162</xdr:row>
      <xdr:rowOff>9525</xdr:rowOff>
    </xdr:from>
    <xdr:to>
      <xdr:col>0</xdr:col>
      <xdr:colOff>2038350</xdr:colOff>
      <xdr:row>163</xdr:row>
      <xdr:rowOff>9525</xdr:rowOff>
    </xdr:to>
    <xdr:sp macro="" textlink="" fLocksText="0">
      <xdr:nvSpPr>
        <xdr:cNvPr id="11" name="TextBox 10">
          <a:extLst>
            <a:ext uri="{FF2B5EF4-FFF2-40B4-BE49-F238E27FC236}">
              <a16:creationId xmlns:a16="http://schemas.microsoft.com/office/drawing/2014/main" id="{0E722D39-7556-436C-B3C6-D245375824D4}"/>
            </a:ext>
          </a:extLst>
        </xdr:cNvPr>
        <xdr:cNvSpPr txBox="1"/>
      </xdr:nvSpPr>
      <xdr:spPr>
        <a:xfrm>
          <a:off x="9525" y="37538025"/>
          <a:ext cx="2028825" cy="27622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(Ký, họ tên)</a:t>
          </a:r>
        </a:p>
      </xdr:txBody>
    </xdr:sp>
    <xdr:clientData/>
  </xdr:twoCellAnchor>
  <xdr:twoCellAnchor editAs="oneCell">
    <xdr:from>
      <xdr:col>0</xdr:col>
      <xdr:colOff>2047875</xdr:colOff>
      <xdr:row>162</xdr:row>
      <xdr:rowOff>9525</xdr:rowOff>
    </xdr:from>
    <xdr:to>
      <xdr:col>11</xdr:col>
      <xdr:colOff>9525</xdr:colOff>
      <xdr:row>163</xdr:row>
      <xdr:rowOff>9525</xdr:rowOff>
    </xdr:to>
    <xdr:sp macro="" textlink="" fLocksText="0">
      <xdr:nvSpPr>
        <xdr:cNvPr id="12" name="TextBox 11">
          <a:extLst>
            <a:ext uri="{FF2B5EF4-FFF2-40B4-BE49-F238E27FC236}">
              <a16:creationId xmlns:a16="http://schemas.microsoft.com/office/drawing/2014/main" id="{6DB76F9F-A101-4EB0-B14F-845219063AE4}"/>
            </a:ext>
          </a:extLst>
        </xdr:cNvPr>
        <xdr:cNvSpPr txBox="1"/>
      </xdr:nvSpPr>
      <xdr:spPr>
        <a:xfrm>
          <a:off x="2047875" y="37538025"/>
          <a:ext cx="9258300" cy="276225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none" lIns="9525" tIns="9525" rIns="9525" bIns="9525" anchor="t" anchorCtr="1"/>
        <a:lstStyle/>
        <a:p>
          <a:pPr algn="ctr">
            <a:def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1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(Ký, họ tên)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CED9-4D81-477E-B1AB-FBB3E5D9D5E6}">
  <sheetPr>
    <outlinePr summaryBelow="0"/>
  </sheetPr>
  <dimension ref="A1:K163"/>
  <sheetViews>
    <sheetView showGridLines="0" showZeros="0" tabSelected="1" workbookViewId="0">
      <selection activeCell="M7" sqref="M7"/>
    </sheetView>
  </sheetViews>
  <sheetFormatPr defaultRowHeight="14.25" outlineLevelRow="4" x14ac:dyDescent="0.2"/>
  <cols>
    <col min="1" max="1" width="38.375" customWidth="1"/>
    <col min="2" max="2" width="10" customWidth="1"/>
    <col min="3" max="3" width="18.125" customWidth="1"/>
    <col min="4" max="4" width="17.125" customWidth="1"/>
    <col min="5" max="5" width="8.625" customWidth="1"/>
    <col min="6" max="6" width="17.125" customWidth="1"/>
    <col min="7" max="7" width="8.625" customWidth="1"/>
    <col min="8" max="8" width="17.125" customWidth="1"/>
    <col min="9" max="9" width="8.625" customWidth="1"/>
    <col min="10" max="10" width="17.125" customWidth="1"/>
    <col min="11" max="11" width="8.625" customWidth="1"/>
  </cols>
  <sheetData>
    <row r="1" spans="1:11" ht="13.5" customHeight="1" x14ac:dyDescent="0.2">
      <c r="A1" s="10"/>
    </row>
    <row r="2" spans="1:11" ht="15" customHeight="1" x14ac:dyDescent="0.2">
      <c r="A2" s="11"/>
    </row>
    <row r="3" spans="1:11" ht="19.5" customHeight="1" x14ac:dyDescent="0.2">
      <c r="A3" s="12"/>
    </row>
    <row r="4" spans="1:11" ht="15" customHeight="1" x14ac:dyDescent="0.2">
      <c r="A4" s="13"/>
    </row>
    <row r="5" spans="1:11" ht="15" customHeight="1" x14ac:dyDescent="0.2">
      <c r="A5" s="13"/>
    </row>
    <row r="6" spans="1:11" ht="15" customHeight="1" x14ac:dyDescent="0.2">
      <c r="A6" s="16"/>
    </row>
    <row r="7" spans="1:11" ht="18" customHeight="1" x14ac:dyDescent="0.2">
      <c r="A7" s="9" t="s">
        <v>0</v>
      </c>
      <c r="B7" s="7" t="s">
        <v>1</v>
      </c>
      <c r="C7" s="7" t="s">
        <v>2</v>
      </c>
      <c r="D7" s="7" t="s">
        <v>3</v>
      </c>
      <c r="E7" s="7"/>
      <c r="F7" s="7" t="s">
        <v>4</v>
      </c>
      <c r="G7" s="7"/>
      <c r="H7" s="7" t="s">
        <v>5</v>
      </c>
      <c r="I7" s="7"/>
      <c r="J7" s="7" t="s">
        <v>6</v>
      </c>
      <c r="K7" s="5"/>
    </row>
    <row r="8" spans="1:11" ht="18" customHeight="1" x14ac:dyDescent="0.2">
      <c r="A8" s="8"/>
      <c r="B8" s="6"/>
      <c r="C8" s="6"/>
      <c r="D8" s="14" t="s">
        <v>7</v>
      </c>
      <c r="E8" s="14" t="s">
        <v>8</v>
      </c>
      <c r="F8" s="14" t="s">
        <v>7</v>
      </c>
      <c r="G8" s="14" t="s">
        <v>8</v>
      </c>
      <c r="H8" s="14" t="s">
        <v>7</v>
      </c>
      <c r="I8" s="14" t="s">
        <v>8</v>
      </c>
      <c r="J8" s="14" t="s">
        <v>7</v>
      </c>
      <c r="K8" s="15" t="s">
        <v>8</v>
      </c>
    </row>
    <row r="9" spans="1:11" ht="15" customHeight="1" x14ac:dyDescent="0.2">
      <c r="A9" s="28" t="s">
        <v>9</v>
      </c>
      <c r="B9" s="17"/>
      <c r="C9" s="18">
        <f>SUBTOTAL(9,C10:C137)</f>
        <v>138892000000</v>
      </c>
      <c r="D9" s="19">
        <f>SUBTOTAL(9,D10:D137)</f>
        <v>131337513207</v>
      </c>
      <c r="E9" s="20">
        <v>0.94560891345073872</v>
      </c>
      <c r="F9" s="19">
        <f>SUBTOTAL(9,F10:F137)</f>
        <v>131337513207</v>
      </c>
      <c r="G9" s="20">
        <v>0.94560891345073872</v>
      </c>
      <c r="H9" s="19">
        <f>SUBTOTAL(9,H10:H137)</f>
        <v>240398111535</v>
      </c>
      <c r="I9" s="20">
        <v>0.54633338160761025</v>
      </c>
      <c r="J9" s="19">
        <f>SUBTOTAL(9,J10:J137)</f>
        <v>240398111535</v>
      </c>
      <c r="K9" s="36">
        <v>0.54633338160761025</v>
      </c>
    </row>
    <row r="10" spans="1:11" ht="15" customHeight="1" outlineLevel="1" x14ac:dyDescent="0.2">
      <c r="A10" s="29" t="s">
        <v>10</v>
      </c>
      <c r="B10" s="17"/>
      <c r="C10" s="18">
        <f>SUBTOTAL(9,C11:C18)</f>
        <v>7349000000</v>
      </c>
      <c r="D10" s="19">
        <f>SUBTOTAL(9,D11:D18)</f>
        <v>39590667423</v>
      </c>
      <c r="E10" s="20">
        <v>5.3872183185467408</v>
      </c>
      <c r="F10" s="19">
        <f>SUBTOTAL(9,F11:F18)</f>
        <v>39590667423</v>
      </c>
      <c r="G10" s="20">
        <v>5.3872183185467408</v>
      </c>
      <c r="H10" s="19">
        <f>SUBTOTAL(9,H11:H18)</f>
        <v>87104597245</v>
      </c>
      <c r="I10" s="20">
        <v>0.45451868988777849</v>
      </c>
      <c r="J10" s="19">
        <f>SUBTOTAL(9,J11:J18)</f>
        <v>87104597245</v>
      </c>
      <c r="K10" s="36">
        <v>0.45451868988777849</v>
      </c>
    </row>
    <row r="11" spans="1:11" ht="15" customHeight="1" outlineLevel="2" x14ac:dyDescent="0.2">
      <c r="A11" s="30" t="s">
        <v>11</v>
      </c>
      <c r="B11" s="21" t="s">
        <v>12</v>
      </c>
      <c r="C11" s="22">
        <v>0</v>
      </c>
      <c r="D11" s="23">
        <v>33899320578</v>
      </c>
      <c r="E11" s="24">
        <v>0</v>
      </c>
      <c r="F11" s="23">
        <v>33899320578</v>
      </c>
      <c r="G11" s="24">
        <v>0</v>
      </c>
      <c r="H11" s="23">
        <v>79052527547</v>
      </c>
      <c r="I11" s="24">
        <v>0.42880000000000001</v>
      </c>
      <c r="J11" s="23">
        <v>79052527547</v>
      </c>
      <c r="K11" s="37">
        <v>0.42880000000000001</v>
      </c>
    </row>
    <row r="12" spans="1:11" ht="15" customHeight="1" outlineLevel="2" x14ac:dyDescent="0.2">
      <c r="A12" s="30" t="s">
        <v>13</v>
      </c>
      <c r="B12" s="21" t="s">
        <v>14</v>
      </c>
      <c r="C12" s="22">
        <v>0</v>
      </c>
      <c r="D12" s="23"/>
      <c r="E12" s="24">
        <v>0</v>
      </c>
      <c r="F12" s="23"/>
      <c r="G12" s="24">
        <v>0</v>
      </c>
      <c r="H12" s="23">
        <v>18522000</v>
      </c>
      <c r="I12" s="24">
        <v>0</v>
      </c>
      <c r="J12" s="23">
        <v>18522000</v>
      </c>
      <c r="K12" s="37">
        <v>0</v>
      </c>
    </row>
    <row r="13" spans="1:11" ht="15" customHeight="1" outlineLevel="2" x14ac:dyDescent="0.2">
      <c r="A13" s="30" t="s">
        <v>15</v>
      </c>
      <c r="B13" s="21" t="s">
        <v>16</v>
      </c>
      <c r="C13" s="22">
        <v>26000000</v>
      </c>
      <c r="D13" s="23">
        <v>19156500</v>
      </c>
      <c r="E13" s="24">
        <v>0.73680000000000001</v>
      </c>
      <c r="F13" s="23">
        <v>19156500</v>
      </c>
      <c r="G13" s="24">
        <v>0.73680000000000001</v>
      </c>
      <c r="H13" s="23">
        <v>27416631</v>
      </c>
      <c r="I13" s="24">
        <v>0.69869999999999999</v>
      </c>
      <c r="J13" s="23">
        <v>27416631</v>
      </c>
      <c r="K13" s="37">
        <v>0.69869999999999999</v>
      </c>
    </row>
    <row r="14" spans="1:11" ht="15" customHeight="1" outlineLevel="2" x14ac:dyDescent="0.2">
      <c r="A14" s="30" t="s">
        <v>17</v>
      </c>
      <c r="B14" s="21" t="s">
        <v>18</v>
      </c>
      <c r="C14" s="22">
        <v>3208000000</v>
      </c>
      <c r="D14" s="23">
        <v>2231390000</v>
      </c>
      <c r="E14" s="24">
        <v>0.6956</v>
      </c>
      <c r="F14" s="23">
        <v>2231390000</v>
      </c>
      <c r="G14" s="24">
        <v>0.6956</v>
      </c>
      <c r="H14" s="23">
        <v>2879772292</v>
      </c>
      <c r="I14" s="24">
        <v>0.77480000000000004</v>
      </c>
      <c r="J14" s="23">
        <v>2879772292</v>
      </c>
      <c r="K14" s="37">
        <v>0.77480000000000004</v>
      </c>
    </row>
    <row r="15" spans="1:11" ht="15" customHeight="1" outlineLevel="2" x14ac:dyDescent="0.2">
      <c r="A15" s="30" t="s">
        <v>19</v>
      </c>
      <c r="B15" s="21" t="s">
        <v>20</v>
      </c>
      <c r="C15" s="22">
        <v>323000000</v>
      </c>
      <c r="D15" s="23">
        <v>292345714</v>
      </c>
      <c r="E15" s="24">
        <v>0.90510000000000002</v>
      </c>
      <c r="F15" s="23">
        <v>292345714</v>
      </c>
      <c r="G15" s="24">
        <v>0.90510000000000002</v>
      </c>
      <c r="H15" s="23">
        <v>436475970</v>
      </c>
      <c r="I15" s="24">
        <v>0.66979999999999995</v>
      </c>
      <c r="J15" s="23">
        <v>436475970</v>
      </c>
      <c r="K15" s="37">
        <v>0.66979999999999995</v>
      </c>
    </row>
    <row r="16" spans="1:11" ht="15" customHeight="1" outlineLevel="2" x14ac:dyDescent="0.2">
      <c r="A16" s="30" t="s">
        <v>21</v>
      </c>
      <c r="B16" s="21" t="s">
        <v>22</v>
      </c>
      <c r="C16" s="22">
        <v>3086000000</v>
      </c>
      <c r="D16" s="23">
        <v>2563556658</v>
      </c>
      <c r="E16" s="24">
        <v>0.83069999999999999</v>
      </c>
      <c r="F16" s="23">
        <v>2563556658</v>
      </c>
      <c r="G16" s="24">
        <v>0.83069999999999999</v>
      </c>
      <c r="H16" s="23">
        <v>3817343789</v>
      </c>
      <c r="I16" s="24">
        <v>0.67159999999999997</v>
      </c>
      <c r="J16" s="23">
        <v>3817343789</v>
      </c>
      <c r="K16" s="37">
        <v>0.67159999999999997</v>
      </c>
    </row>
    <row r="17" spans="1:11" ht="15" customHeight="1" outlineLevel="2" x14ac:dyDescent="0.2">
      <c r="A17" s="30" t="s">
        <v>23</v>
      </c>
      <c r="B17" s="21" t="s">
        <v>24</v>
      </c>
      <c r="C17" s="22">
        <v>529000000</v>
      </c>
      <c r="D17" s="23">
        <v>438725116</v>
      </c>
      <c r="E17" s="24">
        <v>0.82930000000000004</v>
      </c>
      <c r="F17" s="23">
        <v>438725116</v>
      </c>
      <c r="G17" s="24">
        <v>0.82930000000000004</v>
      </c>
      <c r="H17" s="23">
        <v>654402020</v>
      </c>
      <c r="I17" s="24">
        <v>0.6704</v>
      </c>
      <c r="J17" s="23">
        <v>654402020</v>
      </c>
      <c r="K17" s="37">
        <v>0.6704</v>
      </c>
    </row>
    <row r="18" spans="1:11" ht="15" customHeight="1" outlineLevel="2" x14ac:dyDescent="0.2">
      <c r="A18" s="30" t="s">
        <v>25</v>
      </c>
      <c r="B18" s="21" t="s">
        <v>26</v>
      </c>
      <c r="C18" s="22">
        <v>177000000</v>
      </c>
      <c r="D18" s="23">
        <v>146172857</v>
      </c>
      <c r="E18" s="24">
        <v>0.82579999999999998</v>
      </c>
      <c r="F18" s="23">
        <v>146172857</v>
      </c>
      <c r="G18" s="24">
        <v>0.82579999999999998</v>
      </c>
      <c r="H18" s="23">
        <v>218136996</v>
      </c>
      <c r="I18" s="24">
        <v>0.67010000000000003</v>
      </c>
      <c r="J18" s="23">
        <v>218136996</v>
      </c>
      <c r="K18" s="37">
        <v>0.67010000000000003</v>
      </c>
    </row>
    <row r="19" spans="1:11" ht="15" customHeight="1" outlineLevel="1" x14ac:dyDescent="0.2">
      <c r="A19" s="29" t="s">
        <v>27</v>
      </c>
      <c r="B19" s="17"/>
      <c r="C19" s="18">
        <f>SUBTOTAL(9,C20:C26)</f>
        <v>1231000000</v>
      </c>
      <c r="D19" s="19">
        <f>SUBTOTAL(9,D20:D26)</f>
        <v>1470080442</v>
      </c>
      <c r="E19" s="20">
        <v>1.1942164435418359</v>
      </c>
      <c r="F19" s="19">
        <f>SUBTOTAL(9,F20:F26)</f>
        <v>1470080442</v>
      </c>
      <c r="G19" s="20">
        <v>1.1942164435418359</v>
      </c>
      <c r="H19" s="19">
        <f>SUBTOTAL(9,H20:H26)</f>
        <v>1508705172</v>
      </c>
      <c r="I19" s="20">
        <v>0.97439875549124189</v>
      </c>
      <c r="J19" s="19">
        <f>SUBTOTAL(9,J20:J26)</f>
        <v>1508705172</v>
      </c>
      <c r="K19" s="36">
        <v>0.97439875549124189</v>
      </c>
    </row>
    <row r="20" spans="1:11" ht="15" customHeight="1" outlineLevel="2" x14ac:dyDescent="0.2">
      <c r="A20" s="30" t="s">
        <v>28</v>
      </c>
      <c r="B20" s="21" t="s">
        <v>29</v>
      </c>
      <c r="C20" s="22">
        <v>800000000</v>
      </c>
      <c r="D20" s="23">
        <v>1094167448</v>
      </c>
      <c r="E20" s="24">
        <v>1.3676999999999999</v>
      </c>
      <c r="F20" s="23">
        <v>1094167448</v>
      </c>
      <c r="G20" s="24">
        <v>1.3676999999999999</v>
      </c>
      <c r="H20" s="23">
        <v>997249509</v>
      </c>
      <c r="I20" s="24">
        <v>1.0972</v>
      </c>
      <c r="J20" s="23">
        <v>997249509</v>
      </c>
      <c r="K20" s="37">
        <v>1.0972</v>
      </c>
    </row>
    <row r="21" spans="1:11" ht="15" customHeight="1" outlineLevel="2" x14ac:dyDescent="0.2">
      <c r="A21" s="30" t="s">
        <v>30</v>
      </c>
      <c r="B21" s="21" t="s">
        <v>31</v>
      </c>
      <c r="C21" s="22">
        <v>150000000</v>
      </c>
      <c r="D21" s="23">
        <v>180348312</v>
      </c>
      <c r="E21" s="24">
        <v>1.2022999999999999</v>
      </c>
      <c r="F21" s="23">
        <v>180348312</v>
      </c>
      <c r="G21" s="24">
        <v>1.2022999999999999</v>
      </c>
      <c r="H21" s="23">
        <v>261186083</v>
      </c>
      <c r="I21" s="24">
        <v>0.6905</v>
      </c>
      <c r="J21" s="23">
        <v>261186083</v>
      </c>
      <c r="K21" s="37">
        <v>0.6905</v>
      </c>
    </row>
    <row r="22" spans="1:11" ht="25.5" customHeight="1" outlineLevel="2" x14ac:dyDescent="0.2">
      <c r="A22" s="30" t="s">
        <v>32</v>
      </c>
      <c r="B22" s="21" t="s">
        <v>33</v>
      </c>
      <c r="C22" s="22">
        <v>20000000</v>
      </c>
      <c r="D22" s="23"/>
      <c r="E22" s="24">
        <v>0</v>
      </c>
      <c r="F22" s="23"/>
      <c r="G22" s="24">
        <v>0</v>
      </c>
      <c r="H22" s="23">
        <v>21745440</v>
      </c>
      <c r="I22" s="24">
        <v>0</v>
      </c>
      <c r="J22" s="23">
        <v>21745440</v>
      </c>
      <c r="K22" s="37">
        <v>0</v>
      </c>
    </row>
    <row r="23" spans="1:11" ht="15" customHeight="1" outlineLevel="2" x14ac:dyDescent="0.2">
      <c r="A23" s="30" t="s">
        <v>34</v>
      </c>
      <c r="B23" s="21" t="s">
        <v>35</v>
      </c>
      <c r="C23" s="22">
        <v>40000000</v>
      </c>
      <c r="D23" s="23">
        <v>30718000</v>
      </c>
      <c r="E23" s="24">
        <v>0.76800000000000002</v>
      </c>
      <c r="F23" s="23">
        <v>30718000</v>
      </c>
      <c r="G23" s="24">
        <v>0.76800000000000002</v>
      </c>
      <c r="H23" s="23">
        <v>12750000</v>
      </c>
      <c r="I23" s="24">
        <v>2.4093</v>
      </c>
      <c r="J23" s="23">
        <v>12750000</v>
      </c>
      <c r="K23" s="37">
        <v>2.4093</v>
      </c>
    </row>
    <row r="24" spans="1:11" ht="25.5" customHeight="1" outlineLevel="2" x14ac:dyDescent="0.2">
      <c r="A24" s="30" t="s">
        <v>36</v>
      </c>
      <c r="B24" s="21" t="s">
        <v>37</v>
      </c>
      <c r="C24" s="22">
        <v>126000000</v>
      </c>
      <c r="D24" s="23">
        <v>117299000</v>
      </c>
      <c r="E24" s="24">
        <v>0.93089999999999995</v>
      </c>
      <c r="F24" s="23">
        <v>117299000</v>
      </c>
      <c r="G24" s="24">
        <v>0.93089999999999995</v>
      </c>
      <c r="H24" s="23">
        <v>133242200</v>
      </c>
      <c r="I24" s="24">
        <v>0.88029999999999997</v>
      </c>
      <c r="J24" s="23">
        <v>133242200</v>
      </c>
      <c r="K24" s="37">
        <v>0.88029999999999997</v>
      </c>
    </row>
    <row r="25" spans="1:11" ht="15" customHeight="1" outlineLevel="2" x14ac:dyDescent="0.2">
      <c r="A25" s="30" t="s">
        <v>38</v>
      </c>
      <c r="B25" s="21" t="s">
        <v>39</v>
      </c>
      <c r="C25" s="22">
        <v>20000000</v>
      </c>
      <c r="D25" s="23">
        <v>10249999</v>
      </c>
      <c r="E25" s="24">
        <v>0.51249999999999996</v>
      </c>
      <c r="F25" s="23">
        <v>10249999</v>
      </c>
      <c r="G25" s="24">
        <v>0.51249999999999996</v>
      </c>
      <c r="H25" s="23">
        <v>18981480</v>
      </c>
      <c r="I25" s="24">
        <v>0.54</v>
      </c>
      <c r="J25" s="23">
        <v>18981480</v>
      </c>
      <c r="K25" s="37">
        <v>0.54</v>
      </c>
    </row>
    <row r="26" spans="1:11" ht="15" customHeight="1" outlineLevel="2" x14ac:dyDescent="0.2">
      <c r="A26" s="30" t="s">
        <v>40</v>
      </c>
      <c r="B26" s="21" t="s">
        <v>41</v>
      </c>
      <c r="C26" s="22">
        <v>75000000</v>
      </c>
      <c r="D26" s="23">
        <v>37297683</v>
      </c>
      <c r="E26" s="24">
        <v>0.49730000000000002</v>
      </c>
      <c r="F26" s="23">
        <v>37297683</v>
      </c>
      <c r="G26" s="24">
        <v>0.49730000000000002</v>
      </c>
      <c r="H26" s="23">
        <v>63550460</v>
      </c>
      <c r="I26" s="24">
        <v>0.58689999999999998</v>
      </c>
      <c r="J26" s="23">
        <v>63550460</v>
      </c>
      <c r="K26" s="37">
        <v>0.58689999999999998</v>
      </c>
    </row>
    <row r="27" spans="1:11" ht="15" customHeight="1" outlineLevel="1" x14ac:dyDescent="0.2">
      <c r="A27" s="29" t="s">
        <v>42</v>
      </c>
      <c r="B27" s="17"/>
      <c r="C27" s="18">
        <f>SUBTOTAL(9,C28:C35)</f>
        <v>1089000000</v>
      </c>
      <c r="D27" s="19">
        <f>SUBTOTAL(9,D28:D35)</f>
        <v>682756459</v>
      </c>
      <c r="E27" s="20">
        <v>0.62695726262626261</v>
      </c>
      <c r="F27" s="19">
        <f>SUBTOTAL(9,F28:F35)</f>
        <v>682756459</v>
      </c>
      <c r="G27" s="20">
        <v>0.62695726262626261</v>
      </c>
      <c r="H27" s="19">
        <f>SUBTOTAL(9,H28:H35)</f>
        <v>1029810147</v>
      </c>
      <c r="I27" s="20">
        <v>0.66299255351967312</v>
      </c>
      <c r="J27" s="19">
        <f>SUBTOTAL(9,J28:J35)</f>
        <v>1029810147</v>
      </c>
      <c r="K27" s="36">
        <v>0.66299255351967312</v>
      </c>
    </row>
    <row r="28" spans="1:11" ht="15" customHeight="1" outlineLevel="2" x14ac:dyDescent="0.2">
      <c r="A28" s="31" t="s">
        <v>43</v>
      </c>
      <c r="B28" s="17"/>
      <c r="C28" s="18">
        <f>SUBTOTAL(9,C29:C32)</f>
        <v>863000000</v>
      </c>
      <c r="D28" s="19">
        <f>SUBTOTAL(9,D29:D32)</f>
        <v>672601917</v>
      </c>
      <c r="E28" s="20">
        <v>0.77937649710312862</v>
      </c>
      <c r="F28" s="19">
        <f>SUBTOTAL(9,F29:F32)</f>
        <v>672601917</v>
      </c>
      <c r="G28" s="20">
        <v>0.77937649710312862</v>
      </c>
      <c r="H28" s="19">
        <f>SUBTOTAL(9,H29:H32)</f>
        <v>962684428</v>
      </c>
      <c r="I28" s="20">
        <v>0.69867331125044441</v>
      </c>
      <c r="J28" s="19">
        <f>SUBTOTAL(9,J29:J32)</f>
        <v>962684428</v>
      </c>
      <c r="K28" s="36">
        <v>0.69867331125044441</v>
      </c>
    </row>
    <row r="29" spans="1:11" ht="15" customHeight="1" outlineLevel="3" x14ac:dyDescent="0.2">
      <c r="A29" s="32" t="s">
        <v>44</v>
      </c>
      <c r="B29" s="21" t="s">
        <v>45</v>
      </c>
      <c r="C29" s="22">
        <v>610000000</v>
      </c>
      <c r="D29" s="23">
        <v>467882994</v>
      </c>
      <c r="E29" s="24">
        <v>0.76700000000000002</v>
      </c>
      <c r="F29" s="23">
        <v>467882994</v>
      </c>
      <c r="G29" s="24">
        <v>0.76700000000000002</v>
      </c>
      <c r="H29" s="23">
        <v>647924677</v>
      </c>
      <c r="I29" s="24">
        <v>0.72209999999999996</v>
      </c>
      <c r="J29" s="23">
        <v>647924677</v>
      </c>
      <c r="K29" s="37">
        <v>0.72209999999999996</v>
      </c>
    </row>
    <row r="30" spans="1:11" ht="15" customHeight="1" outlineLevel="3" x14ac:dyDescent="0.2">
      <c r="A30" s="32" t="s">
        <v>46</v>
      </c>
      <c r="B30" s="21" t="s">
        <v>47</v>
      </c>
      <c r="C30" s="22">
        <v>73000000</v>
      </c>
      <c r="D30" s="23">
        <v>138053918</v>
      </c>
      <c r="E30" s="24">
        <v>1.8911</v>
      </c>
      <c r="F30" s="23">
        <v>138053918</v>
      </c>
      <c r="G30" s="24">
        <v>1.8911</v>
      </c>
      <c r="H30" s="23">
        <v>161257629</v>
      </c>
      <c r="I30" s="24">
        <v>0.85609999999999997</v>
      </c>
      <c r="J30" s="23">
        <v>161257629</v>
      </c>
      <c r="K30" s="37">
        <v>0.85609999999999997</v>
      </c>
    </row>
    <row r="31" spans="1:11" ht="15" customHeight="1" outlineLevel="3" x14ac:dyDescent="0.2">
      <c r="A31" s="32" t="s">
        <v>48</v>
      </c>
      <c r="B31" s="21" t="s">
        <v>49</v>
      </c>
      <c r="C31" s="22">
        <v>100000000</v>
      </c>
      <c r="D31" s="23"/>
      <c r="E31" s="24">
        <v>0</v>
      </c>
      <c r="F31" s="23"/>
      <c r="G31" s="24">
        <v>0</v>
      </c>
      <c r="H31" s="23"/>
      <c r="I31" s="24">
        <v>0</v>
      </c>
      <c r="J31" s="23"/>
      <c r="K31" s="37">
        <v>0</v>
      </c>
    </row>
    <row r="32" spans="1:11" ht="15" customHeight="1" outlineLevel="3" x14ac:dyDescent="0.2">
      <c r="A32" s="32" t="s">
        <v>50</v>
      </c>
      <c r="B32" s="21" t="s">
        <v>51</v>
      </c>
      <c r="C32" s="22">
        <v>80000000</v>
      </c>
      <c r="D32" s="23">
        <v>66665005</v>
      </c>
      <c r="E32" s="24">
        <v>0.83330000000000004</v>
      </c>
      <c r="F32" s="23">
        <v>66665005</v>
      </c>
      <c r="G32" s="24">
        <v>0.83330000000000004</v>
      </c>
      <c r="H32" s="23">
        <v>153502122</v>
      </c>
      <c r="I32" s="24">
        <v>0.43430000000000002</v>
      </c>
      <c r="J32" s="23">
        <v>153502122</v>
      </c>
      <c r="K32" s="37">
        <v>0.43430000000000002</v>
      </c>
    </row>
    <row r="33" spans="1:11" ht="15" customHeight="1" outlineLevel="2" x14ac:dyDescent="0.2">
      <c r="A33" s="31" t="s">
        <v>52</v>
      </c>
      <c r="B33" s="17"/>
      <c r="C33" s="18">
        <f>SUBTOTAL(9,C34:C35)</f>
        <v>226000000</v>
      </c>
      <c r="D33" s="19">
        <f>SUBTOTAL(9,D34:D35)</f>
        <v>10154542</v>
      </c>
      <c r="E33" s="20">
        <v>4.4931601769911504E-2</v>
      </c>
      <c r="F33" s="19">
        <f>SUBTOTAL(9,F34:F35)</f>
        <v>10154542</v>
      </c>
      <c r="G33" s="20">
        <v>4.4931601769911504E-2</v>
      </c>
      <c r="H33" s="19">
        <f>SUBTOTAL(9,H34:H35)</f>
        <v>67125719</v>
      </c>
      <c r="I33" s="20">
        <v>0.15127647273320083</v>
      </c>
      <c r="J33" s="19">
        <f>SUBTOTAL(9,J34:J35)</f>
        <v>67125719</v>
      </c>
      <c r="K33" s="36">
        <v>0.15127647273320083</v>
      </c>
    </row>
    <row r="34" spans="1:11" ht="15" customHeight="1" outlineLevel="3" x14ac:dyDescent="0.2">
      <c r="A34" s="32" t="s">
        <v>52</v>
      </c>
      <c r="B34" s="21" t="s">
        <v>53</v>
      </c>
      <c r="C34" s="22">
        <v>196000000</v>
      </c>
      <c r="D34" s="23">
        <v>5697139</v>
      </c>
      <c r="E34" s="24">
        <v>2.9100000000000001E-2</v>
      </c>
      <c r="F34" s="23">
        <v>5697139</v>
      </c>
      <c r="G34" s="24">
        <v>2.9100000000000001E-2</v>
      </c>
      <c r="H34" s="23">
        <v>50047979</v>
      </c>
      <c r="I34" s="24">
        <v>0.1138</v>
      </c>
      <c r="J34" s="23">
        <v>50047979</v>
      </c>
      <c r="K34" s="37">
        <v>0.1138</v>
      </c>
    </row>
    <row r="35" spans="1:11" ht="25.5" customHeight="1" outlineLevel="3" x14ac:dyDescent="0.2">
      <c r="A35" s="32" t="s">
        <v>54</v>
      </c>
      <c r="B35" s="21" t="s">
        <v>55</v>
      </c>
      <c r="C35" s="22">
        <v>30000000</v>
      </c>
      <c r="D35" s="23">
        <v>4457403</v>
      </c>
      <c r="E35" s="24">
        <v>0.14860000000000001</v>
      </c>
      <c r="F35" s="23">
        <v>4457403</v>
      </c>
      <c r="G35" s="24">
        <v>0.14860000000000001</v>
      </c>
      <c r="H35" s="23">
        <v>17077740</v>
      </c>
      <c r="I35" s="24">
        <v>0.26100000000000001</v>
      </c>
      <c r="J35" s="23">
        <v>17077740</v>
      </c>
      <c r="K35" s="37">
        <v>0.26100000000000001</v>
      </c>
    </row>
    <row r="36" spans="1:11" ht="15" customHeight="1" outlineLevel="1" x14ac:dyDescent="0.2">
      <c r="A36" s="29" t="s">
        <v>56</v>
      </c>
      <c r="B36" s="17"/>
      <c r="C36" s="18">
        <f>SUBTOTAL(9,C37:C37)</f>
        <v>52229000000</v>
      </c>
      <c r="D36" s="19">
        <f>SUBTOTAL(9,D37:D37)</f>
        <v>53665647000</v>
      </c>
      <c r="E36" s="20">
        <v>1.0275066916846962</v>
      </c>
      <c r="F36" s="19">
        <f>SUBTOTAL(9,F37:F37)</f>
        <v>53665647000</v>
      </c>
      <c r="G36" s="20">
        <v>1.0275066916846962</v>
      </c>
      <c r="H36" s="19">
        <f>SUBTOTAL(9,H37:H37)</f>
        <v>62842055350</v>
      </c>
      <c r="I36" s="20">
        <v>0.85397663556846093</v>
      </c>
      <c r="J36" s="19">
        <f>SUBTOTAL(9,J37:J37)</f>
        <v>62842055350</v>
      </c>
      <c r="K36" s="36">
        <v>0.85397663556846093</v>
      </c>
    </row>
    <row r="37" spans="1:11" ht="15" customHeight="1" outlineLevel="2" x14ac:dyDescent="0.2">
      <c r="A37" s="30" t="s">
        <v>56</v>
      </c>
      <c r="B37" s="21" t="s">
        <v>57</v>
      </c>
      <c r="C37" s="22">
        <v>52229000000</v>
      </c>
      <c r="D37" s="23">
        <v>53665647000</v>
      </c>
      <c r="E37" s="24">
        <v>1.0275000000000001</v>
      </c>
      <c r="F37" s="23">
        <v>53665647000</v>
      </c>
      <c r="G37" s="24">
        <v>1.0275000000000001</v>
      </c>
      <c r="H37" s="23">
        <v>62842055350</v>
      </c>
      <c r="I37" s="24">
        <v>0.85399999999999998</v>
      </c>
      <c r="J37" s="23">
        <v>62842055350</v>
      </c>
      <c r="K37" s="37">
        <v>0.85399999999999998</v>
      </c>
    </row>
    <row r="38" spans="1:11" ht="15" customHeight="1" outlineLevel="1" x14ac:dyDescent="0.2">
      <c r="A38" s="29" t="s">
        <v>58</v>
      </c>
      <c r="B38" s="17"/>
      <c r="C38" s="18">
        <f>SUBTOTAL(9,C39:C40)</f>
        <v>773000000</v>
      </c>
      <c r="D38" s="19">
        <f>SUBTOTAL(9,D39:D40)</f>
        <v>580115520</v>
      </c>
      <c r="E38" s="20">
        <v>0.7504728589909444</v>
      </c>
      <c r="F38" s="19">
        <f>SUBTOTAL(9,F39:F40)</f>
        <v>580115520</v>
      </c>
      <c r="G38" s="20">
        <v>0.7504728589909444</v>
      </c>
      <c r="H38" s="19">
        <f>SUBTOTAL(9,H39:H40)</f>
        <v>774487360</v>
      </c>
      <c r="I38" s="20">
        <v>0.74903161750761171</v>
      </c>
      <c r="J38" s="19">
        <f>SUBTOTAL(9,J39:J40)</f>
        <v>774487360</v>
      </c>
      <c r="K38" s="36">
        <v>0.74903161750761171</v>
      </c>
    </row>
    <row r="39" spans="1:11" ht="15" customHeight="1" outlineLevel="2" x14ac:dyDescent="0.2">
      <c r="A39" s="30" t="s">
        <v>59</v>
      </c>
      <c r="B39" s="21" t="s">
        <v>60</v>
      </c>
      <c r="C39" s="22">
        <v>0</v>
      </c>
      <c r="D39" s="23"/>
      <c r="E39" s="24">
        <v>0</v>
      </c>
      <c r="F39" s="23"/>
      <c r="G39" s="24">
        <v>0</v>
      </c>
      <c r="H39" s="23">
        <v>1000000</v>
      </c>
      <c r="I39" s="24">
        <v>0</v>
      </c>
      <c r="J39" s="23">
        <v>1000000</v>
      </c>
      <c r="K39" s="37">
        <v>0</v>
      </c>
    </row>
    <row r="40" spans="1:11" ht="15" customHeight="1" outlineLevel="2" x14ac:dyDescent="0.2">
      <c r="A40" s="30" t="s">
        <v>61</v>
      </c>
      <c r="B40" s="21" t="s">
        <v>62</v>
      </c>
      <c r="C40" s="22">
        <v>773000000</v>
      </c>
      <c r="D40" s="23">
        <v>580115520</v>
      </c>
      <c r="E40" s="24">
        <v>0.75049999999999994</v>
      </c>
      <c r="F40" s="23">
        <v>580115520</v>
      </c>
      <c r="G40" s="24">
        <v>0.75049999999999994</v>
      </c>
      <c r="H40" s="23">
        <v>773487360</v>
      </c>
      <c r="I40" s="24">
        <v>0.75</v>
      </c>
      <c r="J40" s="23">
        <v>773487360</v>
      </c>
      <c r="K40" s="37">
        <v>0.75</v>
      </c>
    </row>
    <row r="41" spans="1:11" ht="15" customHeight="1" outlineLevel="1" x14ac:dyDescent="0.2">
      <c r="A41" s="29" t="s">
        <v>63</v>
      </c>
      <c r="B41" s="17"/>
      <c r="C41" s="18">
        <f>SUBTOTAL(9,C42:C98)</f>
        <v>51698000000</v>
      </c>
      <c r="D41" s="19">
        <f>SUBTOTAL(9,D42:D98)</f>
        <v>17288123616</v>
      </c>
      <c r="E41" s="20">
        <v>0.33440604309644473</v>
      </c>
      <c r="F41" s="19">
        <f>SUBTOTAL(9,F42:F98)</f>
        <v>17288123616</v>
      </c>
      <c r="G41" s="20">
        <v>0.33440604309644473</v>
      </c>
      <c r="H41" s="19">
        <f>SUBTOTAL(9,H42:H98)</f>
        <v>60503125753</v>
      </c>
      <c r="I41" s="20">
        <v>0.28573934653521238</v>
      </c>
      <c r="J41" s="19">
        <f>SUBTOTAL(9,J42:J98)</f>
        <v>60503125753</v>
      </c>
      <c r="K41" s="36">
        <v>0.28573934653521238</v>
      </c>
    </row>
    <row r="42" spans="1:11" ht="15" customHeight="1" outlineLevel="2" x14ac:dyDescent="0.2">
      <c r="A42" s="31" t="s">
        <v>64</v>
      </c>
      <c r="B42" s="17"/>
      <c r="C42" s="18">
        <f>SUBTOTAL(9,C43:C86)</f>
        <v>45355000000</v>
      </c>
      <c r="D42" s="19">
        <f>SUBTOTAL(9,D43:D86)</f>
        <v>17143607980</v>
      </c>
      <c r="E42" s="20">
        <v>0.37798716745673022</v>
      </c>
      <c r="F42" s="19">
        <f>SUBTOTAL(9,F43:F86)</f>
        <v>17143607980</v>
      </c>
      <c r="G42" s="20">
        <v>0.37798716745673022</v>
      </c>
      <c r="H42" s="19">
        <f>SUBTOTAL(9,H43:H86)</f>
        <v>60503125753</v>
      </c>
      <c r="I42" s="20">
        <v>0.28335078174287465</v>
      </c>
      <c r="J42" s="19">
        <f>SUBTOTAL(9,J43:J86)</f>
        <v>60503125753</v>
      </c>
      <c r="K42" s="36">
        <v>0.28335078174287465</v>
      </c>
    </row>
    <row r="43" spans="1:11" ht="15" customHeight="1" outlineLevel="3" x14ac:dyDescent="0.2">
      <c r="A43" s="4" t="s">
        <v>65</v>
      </c>
      <c r="B43" s="3"/>
      <c r="C43" s="18">
        <f>SUBTOTAL(9,C44:C51)</f>
        <v>9999000000</v>
      </c>
      <c r="D43" s="19">
        <f>SUBTOTAL(9,D44:D51)</f>
        <v>2751059778</v>
      </c>
      <c r="E43" s="20">
        <v>0.27513349114911489</v>
      </c>
      <c r="F43" s="19">
        <f>SUBTOTAL(9,F44:F51)</f>
        <v>2751059778</v>
      </c>
      <c r="G43" s="20">
        <v>0.27513349114911489</v>
      </c>
      <c r="H43" s="19">
        <f>SUBTOTAL(9,H44:H51)</f>
        <v>2406087061</v>
      </c>
      <c r="I43" s="20">
        <v>1.1433749936116713</v>
      </c>
      <c r="J43" s="19">
        <f>SUBTOTAL(9,J44:J51)</f>
        <v>2406087061</v>
      </c>
      <c r="K43" s="36">
        <v>1.1433749936116713</v>
      </c>
    </row>
    <row r="44" spans="1:11" ht="15" customHeight="1" outlineLevel="4" x14ac:dyDescent="0.2">
      <c r="A44" s="33" t="s">
        <v>66</v>
      </c>
      <c r="B44" s="21" t="s">
        <v>67</v>
      </c>
      <c r="C44" s="22">
        <v>2400000000</v>
      </c>
      <c r="D44" s="23">
        <v>103404899</v>
      </c>
      <c r="E44" s="24">
        <v>4.3099999999999999E-2</v>
      </c>
      <c r="F44" s="23">
        <v>103404899</v>
      </c>
      <c r="G44" s="24">
        <v>4.3099999999999999E-2</v>
      </c>
      <c r="H44" s="23">
        <v>397242287</v>
      </c>
      <c r="I44" s="24">
        <v>0.26029999999999998</v>
      </c>
      <c r="J44" s="23">
        <v>397242287</v>
      </c>
      <c r="K44" s="37">
        <v>0.26029999999999998</v>
      </c>
    </row>
    <row r="45" spans="1:11" ht="15" customHeight="1" outlineLevel="4" x14ac:dyDescent="0.2">
      <c r="A45" s="33" t="s">
        <v>68</v>
      </c>
      <c r="B45" s="21" t="s">
        <v>69</v>
      </c>
      <c r="C45" s="22">
        <v>3520000000</v>
      </c>
      <c r="D45" s="23">
        <v>2363496364</v>
      </c>
      <c r="E45" s="24">
        <v>0.6714</v>
      </c>
      <c r="F45" s="23">
        <v>2363496364</v>
      </c>
      <c r="G45" s="24">
        <v>0.6714</v>
      </c>
      <c r="H45" s="23">
        <v>433223339</v>
      </c>
      <c r="I45" s="24">
        <v>5.4555999999999996</v>
      </c>
      <c r="J45" s="23">
        <v>433223339</v>
      </c>
      <c r="K45" s="37">
        <v>5.4555999999999996</v>
      </c>
    </row>
    <row r="46" spans="1:11" ht="15" customHeight="1" outlineLevel="4" x14ac:dyDescent="0.2">
      <c r="A46" s="33" t="s">
        <v>70</v>
      </c>
      <c r="B46" s="21" t="s">
        <v>71</v>
      </c>
      <c r="C46" s="22">
        <v>69000000</v>
      </c>
      <c r="D46" s="23">
        <v>11090741</v>
      </c>
      <c r="E46" s="24">
        <v>0.16070000000000001</v>
      </c>
      <c r="F46" s="23">
        <v>11090741</v>
      </c>
      <c r="G46" s="24">
        <v>0.16070000000000001</v>
      </c>
      <c r="H46" s="23">
        <v>79629044</v>
      </c>
      <c r="I46" s="24">
        <v>0.13930000000000001</v>
      </c>
      <c r="J46" s="23">
        <v>79629044</v>
      </c>
      <c r="K46" s="37">
        <v>0.13930000000000001</v>
      </c>
    </row>
    <row r="47" spans="1:11" ht="25.5" customHeight="1" outlineLevel="4" x14ac:dyDescent="0.2">
      <c r="A47" s="33" t="s">
        <v>72</v>
      </c>
      <c r="B47" s="21" t="s">
        <v>73</v>
      </c>
      <c r="C47" s="22">
        <v>30000000</v>
      </c>
      <c r="D47" s="23"/>
      <c r="E47" s="24">
        <v>0</v>
      </c>
      <c r="F47" s="23"/>
      <c r="G47" s="24">
        <v>0</v>
      </c>
      <c r="H47" s="23">
        <v>34072222</v>
      </c>
      <c r="I47" s="24">
        <v>0</v>
      </c>
      <c r="J47" s="23">
        <v>34072222</v>
      </c>
      <c r="K47" s="37">
        <v>0</v>
      </c>
    </row>
    <row r="48" spans="1:11" ht="15.75" customHeight="1" outlineLevel="4" x14ac:dyDescent="0.2">
      <c r="A48" s="33" t="s">
        <v>74</v>
      </c>
      <c r="B48" s="21" t="s">
        <v>75</v>
      </c>
      <c r="C48" s="22">
        <v>580000000</v>
      </c>
      <c r="D48" s="23"/>
      <c r="E48" s="24">
        <v>0</v>
      </c>
      <c r="F48" s="23"/>
      <c r="G48" s="24">
        <v>0</v>
      </c>
      <c r="H48" s="23">
        <v>436381096</v>
      </c>
      <c r="I48" s="24">
        <v>0</v>
      </c>
      <c r="J48" s="23">
        <v>436381096</v>
      </c>
      <c r="K48" s="37">
        <v>0</v>
      </c>
    </row>
    <row r="49" spans="1:11" ht="15.75" customHeight="1" outlineLevel="4" x14ac:dyDescent="0.2">
      <c r="A49" s="33" t="s">
        <v>76</v>
      </c>
      <c r="B49" s="21" t="s">
        <v>77</v>
      </c>
      <c r="C49" s="22">
        <v>60000000</v>
      </c>
      <c r="D49" s="23"/>
      <c r="E49" s="24">
        <v>0</v>
      </c>
      <c r="F49" s="23"/>
      <c r="G49" s="24">
        <v>0</v>
      </c>
      <c r="H49" s="23">
        <v>72708243</v>
      </c>
      <c r="I49" s="24">
        <v>0</v>
      </c>
      <c r="J49" s="23">
        <v>72708243</v>
      </c>
      <c r="K49" s="37">
        <v>0</v>
      </c>
    </row>
    <row r="50" spans="1:11" ht="15.75" customHeight="1" outlineLevel="4" x14ac:dyDescent="0.2">
      <c r="A50" s="33" t="s">
        <v>78</v>
      </c>
      <c r="B50" s="21" t="s">
        <v>79</v>
      </c>
      <c r="C50" s="22">
        <v>3230000000</v>
      </c>
      <c r="D50" s="23">
        <v>273067774</v>
      </c>
      <c r="E50" s="24">
        <v>8.4500000000000006E-2</v>
      </c>
      <c r="F50" s="23">
        <v>273067774</v>
      </c>
      <c r="G50" s="24">
        <v>8.4500000000000006E-2</v>
      </c>
      <c r="H50" s="23">
        <v>178135117</v>
      </c>
      <c r="I50" s="24">
        <v>1.5328999999999999</v>
      </c>
      <c r="J50" s="23">
        <v>178135117</v>
      </c>
      <c r="K50" s="37">
        <v>1.5328999999999999</v>
      </c>
    </row>
    <row r="51" spans="1:11" ht="30" customHeight="1" outlineLevel="4" x14ac:dyDescent="0.2">
      <c r="A51" s="33" t="s">
        <v>80</v>
      </c>
      <c r="B51" s="21" t="s">
        <v>81</v>
      </c>
      <c r="C51" s="22">
        <v>110000000</v>
      </c>
      <c r="D51" s="23"/>
      <c r="E51" s="24">
        <v>0</v>
      </c>
      <c r="F51" s="23"/>
      <c r="G51" s="24">
        <v>0</v>
      </c>
      <c r="H51" s="23">
        <v>774695713</v>
      </c>
      <c r="I51" s="24">
        <v>0</v>
      </c>
      <c r="J51" s="23">
        <v>774695713</v>
      </c>
      <c r="K51" s="37">
        <v>0</v>
      </c>
    </row>
    <row r="52" spans="1:11" ht="15.75" customHeight="1" outlineLevel="3" x14ac:dyDescent="0.2">
      <c r="A52" s="34" t="s">
        <v>82</v>
      </c>
      <c r="B52" s="17"/>
      <c r="C52" s="18">
        <f>SUBTOTAL(9,C53:C70)</f>
        <v>13930000000</v>
      </c>
      <c r="D52" s="19">
        <f>SUBTOTAL(9,D53:D70)</f>
        <v>1763997954</v>
      </c>
      <c r="E52" s="20">
        <v>0.12663301895190238</v>
      </c>
      <c r="F52" s="19">
        <f>SUBTOTAL(9,F53:F70)</f>
        <v>1763997954</v>
      </c>
      <c r="G52" s="20">
        <v>0.12663301895190238</v>
      </c>
      <c r="H52" s="19">
        <f>SUBTOTAL(9,H53:H70)</f>
        <v>4281627420</v>
      </c>
      <c r="I52" s="20">
        <v>0.41199239937602977</v>
      </c>
      <c r="J52" s="19">
        <f>SUBTOTAL(9,J53:J70)</f>
        <v>4281627420</v>
      </c>
      <c r="K52" s="36">
        <v>0.41199239937602977</v>
      </c>
    </row>
    <row r="53" spans="1:11" ht="15.75" customHeight="1" outlineLevel="4" x14ac:dyDescent="0.2">
      <c r="A53" s="33" t="s">
        <v>83</v>
      </c>
      <c r="B53" s="21" t="s">
        <v>84</v>
      </c>
      <c r="C53" s="22">
        <v>920000000</v>
      </c>
      <c r="D53" s="23">
        <v>218600000</v>
      </c>
      <c r="E53" s="24">
        <v>0.23760000000000001</v>
      </c>
      <c r="F53" s="23">
        <v>218600000</v>
      </c>
      <c r="G53" s="24">
        <v>0.23760000000000001</v>
      </c>
      <c r="H53" s="23">
        <v>575050600</v>
      </c>
      <c r="I53" s="24">
        <v>0.38009999999999999</v>
      </c>
      <c r="J53" s="23">
        <v>575050600</v>
      </c>
      <c r="K53" s="37">
        <v>0.38009999999999999</v>
      </c>
    </row>
    <row r="54" spans="1:11" ht="15.75" customHeight="1" outlineLevel="4" x14ac:dyDescent="0.2">
      <c r="A54" s="33" t="s">
        <v>85</v>
      </c>
      <c r="B54" s="21" t="s">
        <v>86</v>
      </c>
      <c r="C54" s="22">
        <v>3480000000</v>
      </c>
      <c r="D54" s="23">
        <v>510932400</v>
      </c>
      <c r="E54" s="24">
        <v>0.14680000000000001</v>
      </c>
      <c r="F54" s="23">
        <v>510932400</v>
      </c>
      <c r="G54" s="24">
        <v>0.14680000000000001</v>
      </c>
      <c r="H54" s="23">
        <v>186857188</v>
      </c>
      <c r="I54" s="24">
        <v>2.7343000000000002</v>
      </c>
      <c r="J54" s="23">
        <v>186857188</v>
      </c>
      <c r="K54" s="37">
        <v>2.7343000000000002</v>
      </c>
    </row>
    <row r="55" spans="1:11" ht="30" customHeight="1" outlineLevel="4" x14ac:dyDescent="0.2">
      <c r="A55" s="33" t="s">
        <v>87</v>
      </c>
      <c r="B55" s="21" t="s">
        <v>88</v>
      </c>
      <c r="C55" s="22">
        <v>350000000</v>
      </c>
      <c r="D55" s="23">
        <v>122845000</v>
      </c>
      <c r="E55" s="24">
        <v>0.35099999999999998</v>
      </c>
      <c r="F55" s="23">
        <v>122845000</v>
      </c>
      <c r="G55" s="24">
        <v>0.35099999999999998</v>
      </c>
      <c r="H55" s="23">
        <v>388015454</v>
      </c>
      <c r="I55" s="24">
        <v>0.31659999999999999</v>
      </c>
      <c r="J55" s="23">
        <v>388015454</v>
      </c>
      <c r="K55" s="37">
        <v>0.31659999999999999</v>
      </c>
    </row>
    <row r="56" spans="1:11" ht="15.75" customHeight="1" outlineLevel="4" x14ac:dyDescent="0.2">
      <c r="A56" s="33" t="s">
        <v>89</v>
      </c>
      <c r="B56" s="21" t="s">
        <v>90</v>
      </c>
      <c r="C56" s="22">
        <v>180000000</v>
      </c>
      <c r="D56" s="23">
        <v>16511444</v>
      </c>
      <c r="E56" s="24">
        <v>9.1700000000000004E-2</v>
      </c>
      <c r="F56" s="23">
        <v>16511444</v>
      </c>
      <c r="G56" s="24">
        <v>9.1700000000000004E-2</v>
      </c>
      <c r="H56" s="23">
        <v>7047407</v>
      </c>
      <c r="I56" s="24">
        <v>2.3429000000000002</v>
      </c>
      <c r="J56" s="23">
        <v>7047407</v>
      </c>
      <c r="K56" s="37">
        <v>2.3429000000000002</v>
      </c>
    </row>
    <row r="57" spans="1:11" ht="30" customHeight="1" outlineLevel="4" x14ac:dyDescent="0.2">
      <c r="A57" s="33" t="s">
        <v>91</v>
      </c>
      <c r="B57" s="21" t="s">
        <v>92</v>
      </c>
      <c r="C57" s="22">
        <v>10000000</v>
      </c>
      <c r="D57" s="23"/>
      <c r="E57" s="24">
        <v>0</v>
      </c>
      <c r="F57" s="23"/>
      <c r="G57" s="24">
        <v>0</v>
      </c>
      <c r="H57" s="23">
        <v>11539815</v>
      </c>
      <c r="I57" s="24">
        <v>0</v>
      </c>
      <c r="J57" s="23">
        <v>11539815</v>
      </c>
      <c r="K57" s="37">
        <v>0</v>
      </c>
    </row>
    <row r="58" spans="1:11" ht="30" customHeight="1" outlineLevel="4" x14ac:dyDescent="0.2">
      <c r="A58" s="33" t="s">
        <v>93</v>
      </c>
      <c r="B58" s="21" t="s">
        <v>94</v>
      </c>
      <c r="C58" s="22">
        <v>90000000</v>
      </c>
      <c r="D58" s="23"/>
      <c r="E58" s="24">
        <v>0</v>
      </c>
      <c r="F58" s="23"/>
      <c r="G58" s="24">
        <v>0</v>
      </c>
      <c r="H58" s="23">
        <v>92478182</v>
      </c>
      <c r="I58" s="24">
        <v>0</v>
      </c>
      <c r="J58" s="23">
        <v>92478182</v>
      </c>
      <c r="K58" s="37">
        <v>0</v>
      </c>
    </row>
    <row r="59" spans="1:11" ht="15.75" customHeight="1" outlineLevel="4" x14ac:dyDescent="0.2">
      <c r="A59" s="33" t="s">
        <v>95</v>
      </c>
      <c r="B59" s="21" t="s">
        <v>96</v>
      </c>
      <c r="C59" s="22">
        <v>760000000</v>
      </c>
      <c r="D59" s="23"/>
      <c r="E59" s="24">
        <v>0</v>
      </c>
      <c r="F59" s="23"/>
      <c r="G59" s="24">
        <v>0</v>
      </c>
      <c r="H59" s="23">
        <v>8744500</v>
      </c>
      <c r="I59" s="24">
        <v>0</v>
      </c>
      <c r="J59" s="23">
        <v>8744500</v>
      </c>
      <c r="K59" s="37">
        <v>0</v>
      </c>
    </row>
    <row r="60" spans="1:11" ht="30" customHeight="1" outlineLevel="4" x14ac:dyDescent="0.2">
      <c r="A60" s="33" t="s">
        <v>97</v>
      </c>
      <c r="B60" s="21" t="s">
        <v>98</v>
      </c>
      <c r="C60" s="22">
        <v>170000000</v>
      </c>
      <c r="D60" s="23"/>
      <c r="E60" s="24">
        <v>0</v>
      </c>
      <c r="F60" s="23"/>
      <c r="G60" s="24">
        <v>0</v>
      </c>
      <c r="H60" s="23">
        <v>608367000</v>
      </c>
      <c r="I60" s="24">
        <v>0</v>
      </c>
      <c r="J60" s="23">
        <v>608367000</v>
      </c>
      <c r="K60" s="37">
        <v>0</v>
      </c>
    </row>
    <row r="61" spans="1:11" ht="30" customHeight="1" outlineLevel="4" x14ac:dyDescent="0.2">
      <c r="A61" s="33" t="s">
        <v>99</v>
      </c>
      <c r="B61" s="21" t="s">
        <v>100</v>
      </c>
      <c r="C61" s="22">
        <v>2050000000</v>
      </c>
      <c r="D61" s="23">
        <v>180777096</v>
      </c>
      <c r="E61" s="24">
        <v>8.8200000000000001E-2</v>
      </c>
      <c r="F61" s="23">
        <v>180777096</v>
      </c>
      <c r="G61" s="24">
        <v>8.8200000000000001E-2</v>
      </c>
      <c r="H61" s="23">
        <v>835775330</v>
      </c>
      <c r="I61" s="24">
        <v>0.21629999999999999</v>
      </c>
      <c r="J61" s="23">
        <v>835775330</v>
      </c>
      <c r="K61" s="37">
        <v>0.21629999999999999</v>
      </c>
    </row>
    <row r="62" spans="1:11" ht="30" customHeight="1" outlineLevel="4" x14ac:dyDescent="0.2">
      <c r="A62" s="33" t="s">
        <v>101</v>
      </c>
      <c r="B62" s="21" t="s">
        <v>102</v>
      </c>
      <c r="C62" s="22">
        <v>2970000000</v>
      </c>
      <c r="D62" s="23">
        <v>197908000</v>
      </c>
      <c r="E62" s="24">
        <v>6.6600000000000006E-2</v>
      </c>
      <c r="F62" s="23">
        <v>197908000</v>
      </c>
      <c r="G62" s="24">
        <v>6.6600000000000006E-2</v>
      </c>
      <c r="H62" s="23">
        <v>753844719</v>
      </c>
      <c r="I62" s="24">
        <v>0.26250000000000001</v>
      </c>
      <c r="J62" s="23">
        <v>753844719</v>
      </c>
      <c r="K62" s="37">
        <v>0.26250000000000001</v>
      </c>
    </row>
    <row r="63" spans="1:11" ht="15.75" customHeight="1" outlineLevel="4" x14ac:dyDescent="0.2">
      <c r="A63" s="33" t="s">
        <v>103</v>
      </c>
      <c r="B63" s="21" t="s">
        <v>104</v>
      </c>
      <c r="C63" s="22">
        <v>290000000</v>
      </c>
      <c r="D63" s="23">
        <v>36458680</v>
      </c>
      <c r="E63" s="24">
        <v>0.12570000000000001</v>
      </c>
      <c r="F63" s="23">
        <v>36458680</v>
      </c>
      <c r="G63" s="24">
        <v>0.12570000000000001</v>
      </c>
      <c r="H63" s="23">
        <v>256296791</v>
      </c>
      <c r="I63" s="24">
        <v>0.14230000000000001</v>
      </c>
      <c r="J63" s="23">
        <v>256296791</v>
      </c>
      <c r="K63" s="37">
        <v>0.14230000000000001</v>
      </c>
    </row>
    <row r="64" spans="1:11" ht="15.75" customHeight="1" outlineLevel="4" x14ac:dyDescent="0.2">
      <c r="A64" s="33" t="s">
        <v>105</v>
      </c>
      <c r="B64" s="21" t="s">
        <v>106</v>
      </c>
      <c r="C64" s="22">
        <v>880000000</v>
      </c>
      <c r="D64" s="23">
        <v>94283500</v>
      </c>
      <c r="E64" s="24">
        <v>0.1071</v>
      </c>
      <c r="F64" s="23">
        <v>94283500</v>
      </c>
      <c r="G64" s="24">
        <v>0.1071</v>
      </c>
      <c r="H64" s="23">
        <v>365294550</v>
      </c>
      <c r="I64" s="24">
        <v>0.2581</v>
      </c>
      <c r="J64" s="23">
        <v>365294550</v>
      </c>
      <c r="K64" s="37">
        <v>0.2581</v>
      </c>
    </row>
    <row r="65" spans="1:11" ht="15.75" customHeight="1" outlineLevel="4" x14ac:dyDescent="0.2">
      <c r="A65" s="33" t="s">
        <v>107</v>
      </c>
      <c r="B65" s="21" t="s">
        <v>108</v>
      </c>
      <c r="C65" s="22">
        <v>780000000</v>
      </c>
      <c r="D65" s="23">
        <v>13491000</v>
      </c>
      <c r="E65" s="24">
        <v>1.7299999999999999E-2</v>
      </c>
      <c r="F65" s="23">
        <v>13491000</v>
      </c>
      <c r="G65" s="24">
        <v>1.7299999999999999E-2</v>
      </c>
      <c r="H65" s="23">
        <v>15867170</v>
      </c>
      <c r="I65" s="24">
        <v>0.85019999999999996</v>
      </c>
      <c r="J65" s="23">
        <v>15867170</v>
      </c>
      <c r="K65" s="37">
        <v>0.85019999999999996</v>
      </c>
    </row>
    <row r="66" spans="1:11" ht="15.75" customHeight="1" outlineLevel="4" x14ac:dyDescent="0.2">
      <c r="A66" s="33" t="s">
        <v>109</v>
      </c>
      <c r="B66" s="21" t="s">
        <v>110</v>
      </c>
      <c r="C66" s="22">
        <v>40000000</v>
      </c>
      <c r="D66" s="23"/>
      <c r="E66" s="24">
        <v>0</v>
      </c>
      <c r="F66" s="23"/>
      <c r="G66" s="24">
        <v>0</v>
      </c>
      <c r="H66" s="23">
        <v>6002000</v>
      </c>
      <c r="I66" s="24">
        <v>0</v>
      </c>
      <c r="J66" s="23">
        <v>6002000</v>
      </c>
      <c r="K66" s="37">
        <v>0</v>
      </c>
    </row>
    <row r="67" spans="1:11" ht="15.75" customHeight="1" outlineLevel="4" x14ac:dyDescent="0.2">
      <c r="A67" s="33" t="s">
        <v>111</v>
      </c>
      <c r="B67" s="21" t="s">
        <v>112</v>
      </c>
      <c r="C67" s="22">
        <v>570000000</v>
      </c>
      <c r="D67" s="23">
        <v>351588400</v>
      </c>
      <c r="E67" s="24">
        <v>0.61680000000000001</v>
      </c>
      <c r="F67" s="23">
        <v>351588400</v>
      </c>
      <c r="G67" s="24">
        <v>0.61680000000000001</v>
      </c>
      <c r="H67" s="23">
        <v>75466000</v>
      </c>
      <c r="I67" s="24">
        <v>4.6589</v>
      </c>
      <c r="J67" s="23">
        <v>75466000</v>
      </c>
      <c r="K67" s="37">
        <v>4.6589</v>
      </c>
    </row>
    <row r="68" spans="1:11" ht="15.75" customHeight="1" outlineLevel="4" x14ac:dyDescent="0.2">
      <c r="A68" s="33" t="s">
        <v>113</v>
      </c>
      <c r="B68" s="21" t="s">
        <v>114</v>
      </c>
      <c r="C68" s="22">
        <v>300000000</v>
      </c>
      <c r="D68" s="23"/>
      <c r="E68" s="24">
        <v>0</v>
      </c>
      <c r="F68" s="23"/>
      <c r="G68" s="24">
        <v>0</v>
      </c>
      <c r="H68" s="23">
        <v>44719074</v>
      </c>
      <c r="I68" s="24">
        <v>0</v>
      </c>
      <c r="J68" s="23">
        <v>44719074</v>
      </c>
      <c r="K68" s="37">
        <v>0</v>
      </c>
    </row>
    <row r="69" spans="1:11" ht="15.75" customHeight="1" outlineLevel="4" x14ac:dyDescent="0.2">
      <c r="A69" s="33" t="s">
        <v>115</v>
      </c>
      <c r="B69" s="21" t="s">
        <v>116</v>
      </c>
      <c r="C69" s="22">
        <v>90000000</v>
      </c>
      <c r="D69" s="23">
        <v>20602434</v>
      </c>
      <c r="E69" s="24">
        <v>0.22889999999999999</v>
      </c>
      <c r="F69" s="23">
        <v>20602434</v>
      </c>
      <c r="G69" s="24">
        <v>0.22889999999999999</v>
      </c>
      <c r="H69" s="23">
        <v>45611640</v>
      </c>
      <c r="I69" s="24">
        <v>0.45169999999999999</v>
      </c>
      <c r="J69" s="23">
        <v>45611640</v>
      </c>
      <c r="K69" s="37">
        <v>0.45169999999999999</v>
      </c>
    </row>
    <row r="70" spans="1:11" ht="30" customHeight="1" outlineLevel="4" x14ac:dyDescent="0.2">
      <c r="A70" s="33" t="s">
        <v>117</v>
      </c>
      <c r="B70" s="21" t="s">
        <v>118</v>
      </c>
      <c r="C70" s="22">
        <v>0</v>
      </c>
      <c r="D70" s="23"/>
      <c r="E70" s="24">
        <v>0</v>
      </c>
      <c r="F70" s="23"/>
      <c r="G70" s="24">
        <v>0</v>
      </c>
      <c r="H70" s="23">
        <v>4650000</v>
      </c>
      <c r="I70" s="24">
        <v>0</v>
      </c>
      <c r="J70" s="23">
        <v>4650000</v>
      </c>
      <c r="K70" s="37">
        <v>0</v>
      </c>
    </row>
    <row r="71" spans="1:11" ht="15.75" customHeight="1" outlineLevel="3" x14ac:dyDescent="0.2">
      <c r="A71" s="4" t="s">
        <v>119</v>
      </c>
      <c r="B71" s="3"/>
      <c r="C71" s="18">
        <f>SUBTOTAL(9,C72:C75)</f>
        <v>3450000000</v>
      </c>
      <c r="D71" s="19">
        <f>SUBTOTAL(9,D72:D75)</f>
        <v>1051140403</v>
      </c>
      <c r="E71" s="20">
        <v>0.30467837768115941</v>
      </c>
      <c r="F71" s="19">
        <f>SUBTOTAL(9,F72:F75)</f>
        <v>1051140403</v>
      </c>
      <c r="G71" s="20">
        <v>0.30467837768115941</v>
      </c>
      <c r="H71" s="19">
        <f>SUBTOTAL(9,H72:H75)</f>
        <v>4185278701</v>
      </c>
      <c r="I71" s="20">
        <v>0.25115182956605692</v>
      </c>
      <c r="J71" s="19">
        <f>SUBTOTAL(9,J72:J75)</f>
        <v>4185278701</v>
      </c>
      <c r="K71" s="36">
        <v>0.25115182956605692</v>
      </c>
    </row>
    <row r="72" spans="1:11" ht="30" customHeight="1" outlineLevel="4" x14ac:dyDescent="0.2">
      <c r="A72" s="33" t="s">
        <v>120</v>
      </c>
      <c r="B72" s="21" t="s">
        <v>121</v>
      </c>
      <c r="C72" s="22">
        <v>2720000000</v>
      </c>
      <c r="D72" s="23">
        <v>724750924</v>
      </c>
      <c r="E72" s="24">
        <v>0.26650000000000001</v>
      </c>
      <c r="F72" s="23">
        <v>724750924</v>
      </c>
      <c r="G72" s="24">
        <v>0.26650000000000001</v>
      </c>
      <c r="H72" s="23">
        <v>2198380639</v>
      </c>
      <c r="I72" s="24">
        <v>0.32969999999999999</v>
      </c>
      <c r="J72" s="23">
        <v>2198380639</v>
      </c>
      <c r="K72" s="37">
        <v>0.32969999999999999</v>
      </c>
    </row>
    <row r="73" spans="1:11" ht="30" customHeight="1" outlineLevel="4" x14ac:dyDescent="0.2">
      <c r="A73" s="33" t="s">
        <v>122</v>
      </c>
      <c r="B73" s="21" t="s">
        <v>123</v>
      </c>
      <c r="C73" s="22">
        <v>600000000</v>
      </c>
      <c r="D73" s="23">
        <v>285547766</v>
      </c>
      <c r="E73" s="24">
        <v>0.47589999999999999</v>
      </c>
      <c r="F73" s="23">
        <v>285547766</v>
      </c>
      <c r="G73" s="24">
        <v>0.47589999999999999</v>
      </c>
      <c r="H73" s="23">
        <v>1808329637</v>
      </c>
      <c r="I73" s="24">
        <v>0.15790000000000001</v>
      </c>
      <c r="J73" s="23">
        <v>1808329637</v>
      </c>
      <c r="K73" s="37">
        <v>0.15790000000000001</v>
      </c>
    </row>
    <row r="74" spans="1:11" ht="15.75" customHeight="1" outlineLevel="4" x14ac:dyDescent="0.2">
      <c r="A74" s="33" t="s">
        <v>124</v>
      </c>
      <c r="B74" s="21" t="s">
        <v>125</v>
      </c>
      <c r="C74" s="22">
        <v>100000000</v>
      </c>
      <c r="D74" s="23">
        <v>32430749</v>
      </c>
      <c r="E74" s="24">
        <v>0.32429999999999998</v>
      </c>
      <c r="F74" s="23">
        <v>32430749</v>
      </c>
      <c r="G74" s="24">
        <v>0.32429999999999998</v>
      </c>
      <c r="H74" s="23">
        <v>145285052</v>
      </c>
      <c r="I74" s="24">
        <v>0.22320000000000001</v>
      </c>
      <c r="J74" s="23">
        <v>145285052</v>
      </c>
      <c r="K74" s="37">
        <v>0.22320000000000001</v>
      </c>
    </row>
    <row r="75" spans="1:11" ht="15.75" customHeight="1" outlineLevel="4" x14ac:dyDescent="0.2">
      <c r="A75" s="33" t="s">
        <v>126</v>
      </c>
      <c r="B75" s="21" t="s">
        <v>127</v>
      </c>
      <c r="C75" s="22">
        <v>30000000</v>
      </c>
      <c r="D75" s="23">
        <v>8410964</v>
      </c>
      <c r="E75" s="24">
        <v>0.28039999999999998</v>
      </c>
      <c r="F75" s="23">
        <v>8410964</v>
      </c>
      <c r="G75" s="24">
        <v>0.28039999999999998</v>
      </c>
      <c r="H75" s="23">
        <v>33283373</v>
      </c>
      <c r="I75" s="24">
        <v>0.25269999999999998</v>
      </c>
      <c r="J75" s="23">
        <v>33283373</v>
      </c>
      <c r="K75" s="37">
        <v>0.25269999999999998</v>
      </c>
    </row>
    <row r="76" spans="1:11" ht="15.75" customHeight="1" outlineLevel="3" x14ac:dyDescent="0.2">
      <c r="A76" s="34" t="s">
        <v>128</v>
      </c>
      <c r="B76" s="17"/>
      <c r="C76" s="18">
        <f>SUBTOTAL(9,C77:C86)</f>
        <v>17976000000</v>
      </c>
      <c r="D76" s="19">
        <f>SUBTOTAL(9,D77:D86)</f>
        <v>11577409845</v>
      </c>
      <c r="E76" s="20">
        <v>0.64404816672229637</v>
      </c>
      <c r="F76" s="19">
        <f>SUBTOTAL(9,F77:F86)</f>
        <v>11577409845</v>
      </c>
      <c r="G76" s="20">
        <v>0.64404816672229637</v>
      </c>
      <c r="H76" s="19">
        <f>SUBTOTAL(9,H77:H86)</f>
        <v>49630132571</v>
      </c>
      <c r="I76" s="20">
        <v>0.23327380454681559</v>
      </c>
      <c r="J76" s="19">
        <f>SUBTOTAL(9,J77:J86)</f>
        <v>49630132571</v>
      </c>
      <c r="K76" s="36">
        <v>0.23327380454681559</v>
      </c>
    </row>
    <row r="77" spans="1:11" ht="15.75" customHeight="1" outlineLevel="4" x14ac:dyDescent="0.2">
      <c r="A77" s="33" t="s">
        <v>129</v>
      </c>
      <c r="B77" s="21" t="s">
        <v>130</v>
      </c>
      <c r="C77" s="22">
        <v>17976000000</v>
      </c>
      <c r="D77" s="23">
        <v>11209945949</v>
      </c>
      <c r="E77" s="24">
        <v>0.62360000000000004</v>
      </c>
      <c r="F77" s="23">
        <v>11209945949</v>
      </c>
      <c r="G77" s="24">
        <v>0.62360000000000004</v>
      </c>
      <c r="H77" s="23">
        <v>42017378923</v>
      </c>
      <c r="I77" s="24">
        <v>0.26679999999999998</v>
      </c>
      <c r="J77" s="23">
        <v>42017378923</v>
      </c>
      <c r="K77" s="37">
        <v>0.26679999999999998</v>
      </c>
    </row>
    <row r="78" spans="1:11" ht="30" customHeight="1" outlineLevel="4" x14ac:dyDescent="0.2">
      <c r="A78" s="33" t="s">
        <v>131</v>
      </c>
      <c r="B78" s="21" t="s">
        <v>132</v>
      </c>
      <c r="C78" s="22">
        <v>0</v>
      </c>
      <c r="D78" s="23">
        <v>32390000</v>
      </c>
      <c r="E78" s="24">
        <v>0</v>
      </c>
      <c r="F78" s="23">
        <v>32390000</v>
      </c>
      <c r="G78" s="24">
        <v>0</v>
      </c>
      <c r="H78" s="23">
        <v>992347888</v>
      </c>
      <c r="I78" s="24">
        <v>3.2599999999999997E-2</v>
      </c>
      <c r="J78" s="23">
        <v>992347888</v>
      </c>
      <c r="K78" s="37">
        <v>3.2599999999999997E-2</v>
      </c>
    </row>
    <row r="79" spans="1:11" ht="30" customHeight="1" outlineLevel="4" x14ac:dyDescent="0.2">
      <c r="A79" s="33" t="s">
        <v>133</v>
      </c>
      <c r="B79" s="21" t="s">
        <v>134</v>
      </c>
      <c r="C79" s="22">
        <v>0</v>
      </c>
      <c r="D79" s="23"/>
      <c r="E79" s="24">
        <v>0</v>
      </c>
      <c r="F79" s="23"/>
      <c r="G79" s="24">
        <v>0</v>
      </c>
      <c r="H79" s="23">
        <v>91543017</v>
      </c>
      <c r="I79" s="24">
        <v>0</v>
      </c>
      <c r="J79" s="23">
        <v>91543017</v>
      </c>
      <c r="K79" s="37">
        <v>0</v>
      </c>
    </row>
    <row r="80" spans="1:11" ht="30" customHeight="1" outlineLevel="4" x14ac:dyDescent="0.2">
      <c r="A80" s="33" t="s">
        <v>135</v>
      </c>
      <c r="B80" s="21" t="s">
        <v>136</v>
      </c>
      <c r="C80" s="22">
        <v>0</v>
      </c>
      <c r="D80" s="23">
        <v>141142857</v>
      </c>
      <c r="E80" s="24">
        <v>0</v>
      </c>
      <c r="F80" s="23">
        <v>141142857</v>
      </c>
      <c r="G80" s="24">
        <v>0</v>
      </c>
      <c r="H80" s="23">
        <v>698375712</v>
      </c>
      <c r="I80" s="24">
        <v>0.2021</v>
      </c>
      <c r="J80" s="23">
        <v>698375712</v>
      </c>
      <c r="K80" s="37">
        <v>0.2021</v>
      </c>
    </row>
    <row r="81" spans="1:11" ht="15.75" customHeight="1" outlineLevel="4" x14ac:dyDescent="0.2">
      <c r="A81" s="33" t="s">
        <v>137</v>
      </c>
      <c r="B81" s="21" t="s">
        <v>138</v>
      </c>
      <c r="C81" s="22">
        <v>0</v>
      </c>
      <c r="D81" s="23"/>
      <c r="E81" s="24">
        <v>0</v>
      </c>
      <c r="F81" s="23"/>
      <c r="G81" s="24">
        <v>0</v>
      </c>
      <c r="H81" s="23">
        <v>1022430908</v>
      </c>
      <c r="I81" s="24">
        <v>0</v>
      </c>
      <c r="J81" s="23">
        <v>1022430908</v>
      </c>
      <c r="K81" s="37">
        <v>0</v>
      </c>
    </row>
    <row r="82" spans="1:11" ht="30" customHeight="1" outlineLevel="4" x14ac:dyDescent="0.2">
      <c r="A82" s="33" t="s">
        <v>139</v>
      </c>
      <c r="B82" s="21" t="s">
        <v>140</v>
      </c>
      <c r="C82" s="22">
        <v>0</v>
      </c>
      <c r="D82" s="23"/>
      <c r="E82" s="24">
        <v>0</v>
      </c>
      <c r="F82" s="23"/>
      <c r="G82" s="24">
        <v>0</v>
      </c>
      <c r="H82" s="23">
        <v>110933259</v>
      </c>
      <c r="I82" s="24">
        <v>0</v>
      </c>
      <c r="J82" s="23">
        <v>110933259</v>
      </c>
      <c r="K82" s="37">
        <v>0</v>
      </c>
    </row>
    <row r="83" spans="1:11" ht="15.75" customHeight="1" outlineLevel="4" x14ac:dyDescent="0.2">
      <c r="A83" s="33" t="s">
        <v>141</v>
      </c>
      <c r="B83" s="21" t="s">
        <v>142</v>
      </c>
      <c r="C83" s="22">
        <v>0</v>
      </c>
      <c r="D83" s="23">
        <v>38090852</v>
      </c>
      <c r="E83" s="24">
        <v>0</v>
      </c>
      <c r="F83" s="23">
        <v>38090852</v>
      </c>
      <c r="G83" s="24">
        <v>0</v>
      </c>
      <c r="H83" s="23">
        <v>80369950</v>
      </c>
      <c r="I83" s="24">
        <v>0.47389999999999999</v>
      </c>
      <c r="J83" s="23">
        <v>80369950</v>
      </c>
      <c r="K83" s="37">
        <v>0.47389999999999999</v>
      </c>
    </row>
    <row r="84" spans="1:11" ht="15.75" customHeight="1" outlineLevel="4" x14ac:dyDescent="0.2">
      <c r="A84" s="33" t="s">
        <v>143</v>
      </c>
      <c r="B84" s="21" t="s">
        <v>144</v>
      </c>
      <c r="C84" s="22">
        <v>0</v>
      </c>
      <c r="D84" s="23">
        <v>79601636</v>
      </c>
      <c r="E84" s="24">
        <v>0</v>
      </c>
      <c r="F84" s="23">
        <v>79601636</v>
      </c>
      <c r="G84" s="24">
        <v>0</v>
      </c>
      <c r="H84" s="23">
        <v>4417688699</v>
      </c>
      <c r="I84" s="24">
        <v>1.7999999999999999E-2</v>
      </c>
      <c r="J84" s="23">
        <v>4417688699</v>
      </c>
      <c r="K84" s="37">
        <v>1.7999999999999999E-2</v>
      </c>
    </row>
    <row r="85" spans="1:11" ht="30" customHeight="1" outlineLevel="4" x14ac:dyDescent="0.2">
      <c r="A85" s="33" t="s">
        <v>145</v>
      </c>
      <c r="B85" s="21" t="s">
        <v>146</v>
      </c>
      <c r="C85" s="22">
        <v>0</v>
      </c>
      <c r="D85" s="23"/>
      <c r="E85" s="24">
        <v>0</v>
      </c>
      <c r="F85" s="23"/>
      <c r="G85" s="24">
        <v>0</v>
      </c>
      <c r="H85" s="23">
        <v>1550000</v>
      </c>
      <c r="I85" s="24">
        <v>0</v>
      </c>
      <c r="J85" s="23">
        <v>1550000</v>
      </c>
      <c r="K85" s="37">
        <v>0</v>
      </c>
    </row>
    <row r="86" spans="1:11" ht="30" customHeight="1" outlineLevel="4" x14ac:dyDescent="0.2">
      <c r="A86" s="33" t="s">
        <v>147</v>
      </c>
      <c r="B86" s="21" t="s">
        <v>148</v>
      </c>
      <c r="C86" s="22">
        <v>0</v>
      </c>
      <c r="D86" s="23">
        <v>76238551</v>
      </c>
      <c r="E86" s="24">
        <v>0</v>
      </c>
      <c r="F86" s="23">
        <v>76238551</v>
      </c>
      <c r="G86" s="24">
        <v>0</v>
      </c>
      <c r="H86" s="23">
        <v>197514215</v>
      </c>
      <c r="I86" s="24">
        <v>0.38600000000000001</v>
      </c>
      <c r="J86" s="23">
        <v>197514215</v>
      </c>
      <c r="K86" s="37">
        <v>0.38600000000000001</v>
      </c>
    </row>
    <row r="87" spans="1:11" ht="15.75" customHeight="1" outlineLevel="2" x14ac:dyDescent="0.2">
      <c r="A87" s="31" t="s">
        <v>149</v>
      </c>
      <c r="B87" s="17"/>
      <c r="C87" s="18">
        <f>SUBTOTAL(9,C88:C98)</f>
        <v>6343000000</v>
      </c>
      <c r="D87" s="19">
        <f>SUBTOTAL(9,D88:D98)</f>
        <v>144515636</v>
      </c>
      <c r="E87" s="20">
        <v>2.278348352514583E-2</v>
      </c>
      <c r="F87" s="19">
        <f>SUBTOTAL(9,F88:F98)</f>
        <v>144515636</v>
      </c>
      <c r="G87" s="20">
        <v>2.278348352514583E-2</v>
      </c>
      <c r="H87" s="19">
        <f>SUBTOTAL(9,H88:H98)</f>
        <v>0</v>
      </c>
      <c r="I87" s="20">
        <v>0</v>
      </c>
      <c r="J87" s="19">
        <f>SUBTOTAL(9,J88:J98)</f>
        <v>0</v>
      </c>
      <c r="K87" s="36">
        <v>0</v>
      </c>
    </row>
    <row r="88" spans="1:11" ht="15.75" customHeight="1" outlineLevel="3" x14ac:dyDescent="0.2">
      <c r="A88" s="4" t="s">
        <v>150</v>
      </c>
      <c r="B88" s="3"/>
      <c r="C88" s="18">
        <f>SUBTOTAL(9,C89:C98)</f>
        <v>6343000000</v>
      </c>
      <c r="D88" s="19">
        <f>SUBTOTAL(9,D89:D98)</f>
        <v>144515636</v>
      </c>
      <c r="E88" s="20">
        <v>2.278348352514583E-2</v>
      </c>
      <c r="F88" s="19">
        <f>SUBTOTAL(9,F89:F98)</f>
        <v>144515636</v>
      </c>
      <c r="G88" s="20">
        <v>2.278348352514583E-2</v>
      </c>
      <c r="H88" s="19">
        <f>SUBTOTAL(9,H89:H98)</f>
        <v>0</v>
      </c>
      <c r="I88" s="20">
        <v>0</v>
      </c>
      <c r="J88" s="19">
        <f>SUBTOTAL(9,J89:J98)</f>
        <v>0</v>
      </c>
      <c r="K88" s="36">
        <v>0</v>
      </c>
    </row>
    <row r="89" spans="1:11" ht="30" customHeight="1" outlineLevel="4" x14ac:dyDescent="0.2">
      <c r="A89" s="33" t="s">
        <v>151</v>
      </c>
      <c r="B89" s="21" t="s">
        <v>152</v>
      </c>
      <c r="C89" s="22">
        <v>1125000000</v>
      </c>
      <c r="D89" s="23"/>
      <c r="E89" s="24">
        <v>0</v>
      </c>
      <c r="F89" s="23"/>
      <c r="G89" s="24">
        <v>0</v>
      </c>
      <c r="H89" s="23"/>
      <c r="I89" s="24">
        <v>0</v>
      </c>
      <c r="J89" s="23"/>
      <c r="K89" s="37">
        <v>0</v>
      </c>
    </row>
    <row r="90" spans="1:11" ht="30" customHeight="1" outlineLevel="4" x14ac:dyDescent="0.2">
      <c r="A90" s="33" t="s">
        <v>131</v>
      </c>
      <c r="B90" s="21" t="s">
        <v>153</v>
      </c>
      <c r="C90" s="22">
        <v>1200000000</v>
      </c>
      <c r="D90" s="23"/>
      <c r="E90" s="24">
        <v>0</v>
      </c>
      <c r="F90" s="23"/>
      <c r="G90" s="24">
        <v>0</v>
      </c>
      <c r="H90" s="23"/>
      <c r="I90" s="24">
        <v>0</v>
      </c>
      <c r="J90" s="23"/>
      <c r="K90" s="37">
        <v>0</v>
      </c>
    </row>
    <row r="91" spans="1:11" ht="30" customHeight="1" outlineLevel="4" x14ac:dyDescent="0.2">
      <c r="A91" s="33" t="s">
        <v>154</v>
      </c>
      <c r="B91" s="21" t="s">
        <v>155</v>
      </c>
      <c r="C91" s="22">
        <v>500000000</v>
      </c>
      <c r="D91" s="23"/>
      <c r="E91" s="24">
        <v>0</v>
      </c>
      <c r="F91" s="23"/>
      <c r="G91" s="24">
        <v>0</v>
      </c>
      <c r="H91" s="23"/>
      <c r="I91" s="24">
        <v>0</v>
      </c>
      <c r="J91" s="23"/>
      <c r="K91" s="37">
        <v>0</v>
      </c>
    </row>
    <row r="92" spans="1:11" ht="30" customHeight="1" outlineLevel="4" x14ac:dyDescent="0.2">
      <c r="A92" s="33" t="s">
        <v>135</v>
      </c>
      <c r="B92" s="21" t="s">
        <v>156</v>
      </c>
      <c r="C92" s="22">
        <v>860000000</v>
      </c>
      <c r="D92" s="23"/>
      <c r="E92" s="24">
        <v>0</v>
      </c>
      <c r="F92" s="23"/>
      <c r="G92" s="24">
        <v>0</v>
      </c>
      <c r="H92" s="23"/>
      <c r="I92" s="24">
        <v>0</v>
      </c>
      <c r="J92" s="23"/>
      <c r="K92" s="37">
        <v>0</v>
      </c>
    </row>
    <row r="93" spans="1:11" ht="15.75" customHeight="1" outlineLevel="4" x14ac:dyDescent="0.2">
      <c r="A93" s="33" t="s">
        <v>157</v>
      </c>
      <c r="B93" s="21" t="s">
        <v>158</v>
      </c>
      <c r="C93" s="22">
        <v>1550000000</v>
      </c>
      <c r="D93" s="23"/>
      <c r="E93" s="24">
        <v>0</v>
      </c>
      <c r="F93" s="23"/>
      <c r="G93" s="24">
        <v>0</v>
      </c>
      <c r="H93" s="23"/>
      <c r="I93" s="24">
        <v>0</v>
      </c>
      <c r="J93" s="23"/>
      <c r="K93" s="37">
        <v>0</v>
      </c>
    </row>
    <row r="94" spans="1:11" ht="30" customHeight="1" outlineLevel="4" x14ac:dyDescent="0.2">
      <c r="A94" s="33" t="s">
        <v>159</v>
      </c>
      <c r="B94" s="21" t="s">
        <v>160</v>
      </c>
      <c r="C94" s="22">
        <v>90000000</v>
      </c>
      <c r="D94" s="23">
        <v>102132000</v>
      </c>
      <c r="E94" s="24">
        <v>1.1348</v>
      </c>
      <c r="F94" s="23">
        <v>102132000</v>
      </c>
      <c r="G94" s="24">
        <v>1.1348</v>
      </c>
      <c r="H94" s="23"/>
      <c r="I94" s="24">
        <v>0</v>
      </c>
      <c r="J94" s="23"/>
      <c r="K94" s="37">
        <v>0</v>
      </c>
    </row>
    <row r="95" spans="1:11" ht="15.75" customHeight="1" outlineLevel="4" x14ac:dyDescent="0.2">
      <c r="A95" s="33" t="s">
        <v>161</v>
      </c>
      <c r="B95" s="21" t="s">
        <v>162</v>
      </c>
      <c r="C95" s="22">
        <v>155000000</v>
      </c>
      <c r="D95" s="23"/>
      <c r="E95" s="24">
        <v>0</v>
      </c>
      <c r="F95" s="23"/>
      <c r="G95" s="24">
        <v>0</v>
      </c>
      <c r="H95" s="23"/>
      <c r="I95" s="24">
        <v>0</v>
      </c>
      <c r="J95" s="23"/>
      <c r="K95" s="37">
        <v>0</v>
      </c>
    </row>
    <row r="96" spans="1:11" ht="15.75" customHeight="1" outlineLevel="4" x14ac:dyDescent="0.2">
      <c r="A96" s="33" t="s">
        <v>163</v>
      </c>
      <c r="B96" s="21" t="s">
        <v>164</v>
      </c>
      <c r="C96" s="22">
        <v>343000000</v>
      </c>
      <c r="D96" s="23">
        <v>21220000</v>
      </c>
      <c r="E96" s="24">
        <v>6.1899999999999997E-2</v>
      </c>
      <c r="F96" s="23">
        <v>21220000</v>
      </c>
      <c r="G96" s="24">
        <v>6.1899999999999997E-2</v>
      </c>
      <c r="H96" s="23"/>
      <c r="I96" s="24">
        <v>0</v>
      </c>
      <c r="J96" s="23"/>
      <c r="K96" s="37">
        <v>0</v>
      </c>
    </row>
    <row r="97" spans="1:11" ht="30" customHeight="1" outlineLevel="4" x14ac:dyDescent="0.2">
      <c r="A97" s="33" t="s">
        <v>165</v>
      </c>
      <c r="B97" s="21" t="s">
        <v>166</v>
      </c>
      <c r="C97" s="22">
        <v>210000000</v>
      </c>
      <c r="D97" s="23"/>
      <c r="E97" s="24">
        <v>0</v>
      </c>
      <c r="F97" s="23"/>
      <c r="G97" s="24">
        <v>0</v>
      </c>
      <c r="H97" s="23"/>
      <c r="I97" s="24">
        <v>0</v>
      </c>
      <c r="J97" s="23"/>
      <c r="K97" s="37">
        <v>0</v>
      </c>
    </row>
    <row r="98" spans="1:11" ht="30" customHeight="1" outlineLevel="4" x14ac:dyDescent="0.2">
      <c r="A98" s="33" t="s">
        <v>167</v>
      </c>
      <c r="B98" s="21" t="s">
        <v>168</v>
      </c>
      <c r="C98" s="22">
        <v>310000000</v>
      </c>
      <c r="D98" s="23">
        <v>21163636</v>
      </c>
      <c r="E98" s="24">
        <v>6.83E-2</v>
      </c>
      <c r="F98" s="23">
        <v>21163636</v>
      </c>
      <c r="G98" s="24">
        <v>6.83E-2</v>
      </c>
      <c r="H98" s="23"/>
      <c r="I98" s="24">
        <v>0</v>
      </c>
      <c r="J98" s="23"/>
      <c r="K98" s="37">
        <v>0</v>
      </c>
    </row>
    <row r="99" spans="1:11" ht="15.75" customHeight="1" outlineLevel="1" x14ac:dyDescent="0.2">
      <c r="A99" s="29" t="s">
        <v>169</v>
      </c>
      <c r="B99" s="17"/>
      <c r="C99" s="18">
        <f>SUBTOTAL(9,C100:C114)</f>
        <v>14736000000</v>
      </c>
      <c r="D99" s="19">
        <f>SUBTOTAL(9,D100:D114)</f>
        <v>12082504556</v>
      </c>
      <c r="E99" s="20">
        <v>0.81993109093376759</v>
      </c>
      <c r="F99" s="19">
        <f>SUBTOTAL(9,F100:F114)</f>
        <v>12082504556</v>
      </c>
      <c r="G99" s="20">
        <v>0.81993109093376759</v>
      </c>
      <c r="H99" s="19">
        <f>SUBTOTAL(9,H100:H114)</f>
        <v>13957625184</v>
      </c>
      <c r="I99" s="20">
        <v>0.86565618410863321</v>
      </c>
      <c r="J99" s="19">
        <f>SUBTOTAL(9,J100:J114)</f>
        <v>13957625184</v>
      </c>
      <c r="K99" s="36">
        <v>0.86565618410863321</v>
      </c>
    </row>
    <row r="100" spans="1:11" ht="15.75" customHeight="1" outlineLevel="2" x14ac:dyDescent="0.2">
      <c r="A100" s="30" t="s">
        <v>170</v>
      </c>
      <c r="B100" s="21" t="s">
        <v>171</v>
      </c>
      <c r="C100" s="22">
        <v>930000000</v>
      </c>
      <c r="D100" s="23">
        <v>226314560</v>
      </c>
      <c r="E100" s="24">
        <v>0.24329999999999999</v>
      </c>
      <c r="F100" s="23">
        <v>226314560</v>
      </c>
      <c r="G100" s="24">
        <v>0.24329999999999999</v>
      </c>
      <c r="H100" s="23">
        <v>594932600</v>
      </c>
      <c r="I100" s="24">
        <v>0.38040000000000002</v>
      </c>
      <c r="J100" s="23">
        <v>594932600</v>
      </c>
      <c r="K100" s="37">
        <v>0.38040000000000002</v>
      </c>
    </row>
    <row r="101" spans="1:11" ht="15.75" customHeight="1" outlineLevel="2" x14ac:dyDescent="0.2">
      <c r="A101" s="30" t="s">
        <v>172</v>
      </c>
      <c r="B101" s="21" t="s">
        <v>173</v>
      </c>
      <c r="C101" s="22">
        <v>360000000</v>
      </c>
      <c r="D101" s="23">
        <v>151232826</v>
      </c>
      <c r="E101" s="24">
        <v>0.42009999999999997</v>
      </c>
      <c r="F101" s="23">
        <v>151232826</v>
      </c>
      <c r="G101" s="24">
        <v>0.42009999999999997</v>
      </c>
      <c r="H101" s="23">
        <v>269491200</v>
      </c>
      <c r="I101" s="24">
        <v>0.56120000000000003</v>
      </c>
      <c r="J101" s="23">
        <v>269491200</v>
      </c>
      <c r="K101" s="37">
        <v>0.56120000000000003</v>
      </c>
    </row>
    <row r="102" spans="1:11" ht="30" customHeight="1" outlineLevel="2" x14ac:dyDescent="0.2">
      <c r="A102" s="30" t="s">
        <v>174</v>
      </c>
      <c r="B102" s="21" t="s">
        <v>175</v>
      </c>
      <c r="C102" s="22">
        <v>120000000</v>
      </c>
      <c r="D102" s="23">
        <v>35050912</v>
      </c>
      <c r="E102" s="24">
        <v>0.29210000000000003</v>
      </c>
      <c r="F102" s="23">
        <v>35050912</v>
      </c>
      <c r="G102" s="24">
        <v>0.29210000000000003</v>
      </c>
      <c r="H102" s="23">
        <v>116727276</v>
      </c>
      <c r="I102" s="24">
        <v>0.30030000000000001</v>
      </c>
      <c r="J102" s="23">
        <v>116727276</v>
      </c>
      <c r="K102" s="37">
        <v>0.30030000000000001</v>
      </c>
    </row>
    <row r="103" spans="1:11" ht="15.75" customHeight="1" outlineLevel="2" x14ac:dyDescent="0.2">
      <c r="A103" s="30" t="s">
        <v>176</v>
      </c>
      <c r="B103" s="21" t="s">
        <v>177</v>
      </c>
      <c r="C103" s="22">
        <v>5000000</v>
      </c>
      <c r="D103" s="23"/>
      <c r="E103" s="24">
        <v>0</v>
      </c>
      <c r="F103" s="23"/>
      <c r="G103" s="24">
        <v>0</v>
      </c>
      <c r="H103" s="23">
        <v>156255</v>
      </c>
      <c r="I103" s="24">
        <v>0</v>
      </c>
      <c r="J103" s="23">
        <v>156255</v>
      </c>
      <c r="K103" s="37">
        <v>0</v>
      </c>
    </row>
    <row r="104" spans="1:11" ht="15.75" customHeight="1" outlineLevel="2" x14ac:dyDescent="0.2">
      <c r="A104" s="30" t="s">
        <v>178</v>
      </c>
      <c r="B104" s="21" t="s">
        <v>179</v>
      </c>
      <c r="C104" s="22">
        <v>0</v>
      </c>
      <c r="D104" s="23"/>
      <c r="E104" s="24">
        <v>0</v>
      </c>
      <c r="F104" s="23"/>
      <c r="G104" s="24">
        <v>0</v>
      </c>
      <c r="H104" s="23">
        <v>53579000</v>
      </c>
      <c r="I104" s="24">
        <v>0</v>
      </c>
      <c r="J104" s="23">
        <v>53579000</v>
      </c>
      <c r="K104" s="37">
        <v>0</v>
      </c>
    </row>
    <row r="105" spans="1:11" ht="15.75" customHeight="1" outlineLevel="2" x14ac:dyDescent="0.2">
      <c r="A105" s="30" t="s">
        <v>180</v>
      </c>
      <c r="B105" s="21" t="s">
        <v>181</v>
      </c>
      <c r="C105" s="22">
        <v>123000000</v>
      </c>
      <c r="D105" s="23">
        <v>81614411</v>
      </c>
      <c r="E105" s="24">
        <v>0.66349999999999998</v>
      </c>
      <c r="F105" s="23">
        <v>81614411</v>
      </c>
      <c r="G105" s="24">
        <v>0.66349999999999998</v>
      </c>
      <c r="H105" s="23">
        <v>116946759</v>
      </c>
      <c r="I105" s="24">
        <v>0.69789999999999996</v>
      </c>
      <c r="J105" s="23">
        <v>116946759</v>
      </c>
      <c r="K105" s="37">
        <v>0.69789999999999996</v>
      </c>
    </row>
    <row r="106" spans="1:11" ht="15.75" customHeight="1" outlineLevel="2" x14ac:dyDescent="0.2">
      <c r="A106" s="30" t="s">
        <v>182</v>
      </c>
      <c r="B106" s="21" t="s">
        <v>183</v>
      </c>
      <c r="C106" s="22">
        <v>8500000000</v>
      </c>
      <c r="D106" s="23">
        <v>6767985976</v>
      </c>
      <c r="E106" s="24">
        <v>0.79620000000000002</v>
      </c>
      <c r="F106" s="23">
        <v>6767985976</v>
      </c>
      <c r="G106" s="24">
        <v>0.79620000000000002</v>
      </c>
      <c r="H106" s="23">
        <v>7249783378</v>
      </c>
      <c r="I106" s="24">
        <v>0.9335</v>
      </c>
      <c r="J106" s="23">
        <v>7249783378</v>
      </c>
      <c r="K106" s="37">
        <v>0.9335</v>
      </c>
    </row>
    <row r="107" spans="1:11" ht="15.75" customHeight="1" outlineLevel="2" x14ac:dyDescent="0.2">
      <c r="A107" s="30" t="s">
        <v>184</v>
      </c>
      <c r="B107" s="21" t="s">
        <v>185</v>
      </c>
      <c r="C107" s="22">
        <v>700000000</v>
      </c>
      <c r="D107" s="23">
        <v>577972931</v>
      </c>
      <c r="E107" s="24">
        <v>0.82569999999999999</v>
      </c>
      <c r="F107" s="23">
        <v>577972931</v>
      </c>
      <c r="G107" s="24">
        <v>0.82569999999999999</v>
      </c>
      <c r="H107" s="23">
        <v>668895976</v>
      </c>
      <c r="I107" s="24">
        <v>0.86409999999999998</v>
      </c>
      <c r="J107" s="23">
        <v>668895976</v>
      </c>
      <c r="K107" s="37">
        <v>0.86409999999999998</v>
      </c>
    </row>
    <row r="108" spans="1:11" ht="15.75" customHeight="1" outlineLevel="2" x14ac:dyDescent="0.2">
      <c r="A108" s="30" t="s">
        <v>186</v>
      </c>
      <c r="B108" s="21" t="s">
        <v>187</v>
      </c>
      <c r="C108" s="22">
        <v>500000000</v>
      </c>
      <c r="D108" s="23">
        <v>393692427</v>
      </c>
      <c r="E108" s="24">
        <v>0.78739999999999999</v>
      </c>
      <c r="F108" s="23">
        <v>393692427</v>
      </c>
      <c r="G108" s="24">
        <v>0.78739999999999999</v>
      </c>
      <c r="H108" s="23">
        <v>301156091</v>
      </c>
      <c r="I108" s="24">
        <v>1.3072999999999999</v>
      </c>
      <c r="J108" s="23">
        <v>301156091</v>
      </c>
      <c r="K108" s="37">
        <v>1.3072999999999999</v>
      </c>
    </row>
    <row r="109" spans="1:11" ht="15.75" customHeight="1" outlineLevel="2" x14ac:dyDescent="0.2">
      <c r="A109" s="30" t="s">
        <v>188</v>
      </c>
      <c r="B109" s="21" t="s">
        <v>189</v>
      </c>
      <c r="C109" s="22">
        <v>1650000000</v>
      </c>
      <c r="D109" s="23">
        <v>1537300529</v>
      </c>
      <c r="E109" s="24">
        <v>0.93169999999999997</v>
      </c>
      <c r="F109" s="23">
        <v>1537300529</v>
      </c>
      <c r="G109" s="24">
        <v>0.93169999999999997</v>
      </c>
      <c r="H109" s="23">
        <v>1589412998</v>
      </c>
      <c r="I109" s="24">
        <v>0.96719999999999995</v>
      </c>
      <c r="J109" s="23">
        <v>1589412998</v>
      </c>
      <c r="K109" s="37">
        <v>0.96719999999999995</v>
      </c>
    </row>
    <row r="110" spans="1:11" ht="15.75" customHeight="1" outlineLevel="2" x14ac:dyDescent="0.2">
      <c r="A110" s="30" t="s">
        <v>190</v>
      </c>
      <c r="B110" s="21" t="s">
        <v>191</v>
      </c>
      <c r="C110" s="22">
        <v>502000000</v>
      </c>
      <c r="D110" s="23"/>
      <c r="E110" s="24">
        <v>0</v>
      </c>
      <c r="F110" s="23"/>
      <c r="G110" s="24">
        <v>0</v>
      </c>
      <c r="H110" s="23">
        <v>21560000</v>
      </c>
      <c r="I110" s="24">
        <v>0</v>
      </c>
      <c r="J110" s="23">
        <v>21560000</v>
      </c>
      <c r="K110" s="37">
        <v>0</v>
      </c>
    </row>
    <row r="111" spans="1:11" ht="15.75" customHeight="1" outlineLevel="2" x14ac:dyDescent="0.2">
      <c r="A111" s="30" t="s">
        <v>192</v>
      </c>
      <c r="B111" s="21" t="s">
        <v>193</v>
      </c>
      <c r="C111" s="22">
        <v>0</v>
      </c>
      <c r="D111" s="23">
        <v>1603826647</v>
      </c>
      <c r="E111" s="24">
        <v>0</v>
      </c>
      <c r="F111" s="23">
        <v>1603826647</v>
      </c>
      <c r="G111" s="24">
        <v>0</v>
      </c>
      <c r="H111" s="23">
        <v>2089952400</v>
      </c>
      <c r="I111" s="24">
        <v>0.76739999999999997</v>
      </c>
      <c r="J111" s="23">
        <v>2089952400</v>
      </c>
      <c r="K111" s="37">
        <v>0.76739999999999997</v>
      </c>
    </row>
    <row r="112" spans="1:11" ht="15.75" customHeight="1" outlineLevel="2" x14ac:dyDescent="0.2">
      <c r="A112" s="30" t="s">
        <v>194</v>
      </c>
      <c r="B112" s="21" t="s">
        <v>195</v>
      </c>
      <c r="C112" s="22">
        <v>42000000</v>
      </c>
      <c r="D112" s="23"/>
      <c r="E112" s="24">
        <v>0</v>
      </c>
      <c r="F112" s="23"/>
      <c r="G112" s="24">
        <v>0</v>
      </c>
      <c r="H112" s="23">
        <v>8043000</v>
      </c>
      <c r="I112" s="24">
        <v>0</v>
      </c>
      <c r="J112" s="23">
        <v>8043000</v>
      </c>
      <c r="K112" s="37">
        <v>0</v>
      </c>
    </row>
    <row r="113" spans="1:11" ht="15.75" customHeight="1" outlineLevel="2" x14ac:dyDescent="0.2">
      <c r="A113" s="30" t="s">
        <v>196</v>
      </c>
      <c r="B113" s="21" t="s">
        <v>197</v>
      </c>
      <c r="C113" s="22">
        <v>277000000</v>
      </c>
      <c r="D113" s="23">
        <v>162719278</v>
      </c>
      <c r="E113" s="24">
        <v>0.58740000000000003</v>
      </c>
      <c r="F113" s="23">
        <v>162719278</v>
      </c>
      <c r="G113" s="24">
        <v>0.58740000000000003</v>
      </c>
      <c r="H113" s="23">
        <v>200671223</v>
      </c>
      <c r="I113" s="24">
        <v>0.81089999999999995</v>
      </c>
      <c r="J113" s="23">
        <v>200671223</v>
      </c>
      <c r="K113" s="37">
        <v>0.81089999999999995</v>
      </c>
    </row>
    <row r="114" spans="1:11" ht="15.75" customHeight="1" outlineLevel="2" x14ac:dyDescent="0.2">
      <c r="A114" s="30" t="s">
        <v>198</v>
      </c>
      <c r="B114" s="21" t="s">
        <v>199</v>
      </c>
      <c r="C114" s="22">
        <v>1027000000</v>
      </c>
      <c r="D114" s="23">
        <v>544794059</v>
      </c>
      <c r="E114" s="24">
        <v>0.53049999999999997</v>
      </c>
      <c r="F114" s="23">
        <v>544794059</v>
      </c>
      <c r="G114" s="24">
        <v>0.53049999999999997</v>
      </c>
      <c r="H114" s="23">
        <v>676317028</v>
      </c>
      <c r="I114" s="24">
        <v>0.80549999999999999</v>
      </c>
      <c r="J114" s="23">
        <v>676317028</v>
      </c>
      <c r="K114" s="37">
        <v>0.80549999999999999</v>
      </c>
    </row>
    <row r="115" spans="1:11" ht="15.75" customHeight="1" outlineLevel="1" x14ac:dyDescent="0.2">
      <c r="A115" s="29" t="s">
        <v>200</v>
      </c>
      <c r="B115" s="17"/>
      <c r="C115" s="18">
        <f>SUBTOTAL(9,C116:C137)</f>
        <v>9787000000</v>
      </c>
      <c r="D115" s="19">
        <f>SUBTOTAL(9,D116:D137)</f>
        <v>5977618191</v>
      </c>
      <c r="E115" s="20">
        <v>0.61077124665372429</v>
      </c>
      <c r="F115" s="19">
        <f>SUBTOTAL(9,F116:F137)</f>
        <v>5977618191</v>
      </c>
      <c r="G115" s="20">
        <v>0.61077124665372429</v>
      </c>
      <c r="H115" s="19">
        <f>SUBTOTAL(9,H116:H137)</f>
        <v>12677705324</v>
      </c>
      <c r="I115" s="20">
        <v>0.47150632060234499</v>
      </c>
      <c r="J115" s="19">
        <f>SUBTOTAL(9,J116:J137)</f>
        <v>12677705324</v>
      </c>
      <c r="K115" s="36">
        <v>0.47150632060234499</v>
      </c>
    </row>
    <row r="116" spans="1:11" ht="15.75" customHeight="1" outlineLevel="2" x14ac:dyDescent="0.2">
      <c r="A116" s="30" t="s">
        <v>201</v>
      </c>
      <c r="B116" s="21" t="s">
        <v>202</v>
      </c>
      <c r="C116" s="22">
        <v>910000000</v>
      </c>
      <c r="D116" s="23">
        <v>632620320</v>
      </c>
      <c r="E116" s="24">
        <v>0.69520000000000004</v>
      </c>
      <c r="F116" s="23">
        <v>632620320</v>
      </c>
      <c r="G116" s="24">
        <v>0.69520000000000004</v>
      </c>
      <c r="H116" s="23">
        <v>1118074484</v>
      </c>
      <c r="I116" s="24">
        <v>0.56579999999999997</v>
      </c>
      <c r="J116" s="23">
        <v>1118074484</v>
      </c>
      <c r="K116" s="37">
        <v>0.56579999999999997</v>
      </c>
    </row>
    <row r="117" spans="1:11" ht="30" customHeight="1" outlineLevel="2" x14ac:dyDescent="0.2">
      <c r="A117" s="30" t="s">
        <v>203</v>
      </c>
      <c r="B117" s="21" t="s">
        <v>204</v>
      </c>
      <c r="C117" s="22">
        <v>932000000</v>
      </c>
      <c r="D117" s="23">
        <v>679024677</v>
      </c>
      <c r="E117" s="24">
        <v>0.72860000000000003</v>
      </c>
      <c r="F117" s="23">
        <v>679024677</v>
      </c>
      <c r="G117" s="24">
        <v>0.72860000000000003</v>
      </c>
      <c r="H117" s="23">
        <v>1081423371</v>
      </c>
      <c r="I117" s="24">
        <v>0.62790000000000001</v>
      </c>
      <c r="J117" s="23">
        <v>1081423371</v>
      </c>
      <c r="K117" s="37">
        <v>0.62790000000000001</v>
      </c>
    </row>
    <row r="118" spans="1:11" ht="15.75" customHeight="1" outlineLevel="2" x14ac:dyDescent="0.2">
      <c r="A118" s="30" t="s">
        <v>205</v>
      </c>
      <c r="B118" s="21" t="s">
        <v>206</v>
      </c>
      <c r="C118" s="22">
        <v>546000000</v>
      </c>
      <c r="D118" s="23">
        <v>414201960</v>
      </c>
      <c r="E118" s="24">
        <v>0.75860000000000005</v>
      </c>
      <c r="F118" s="23">
        <v>414201960</v>
      </c>
      <c r="G118" s="24">
        <v>0.75860000000000005</v>
      </c>
      <c r="H118" s="23">
        <v>235790500</v>
      </c>
      <c r="I118" s="24">
        <v>1.7566999999999999</v>
      </c>
      <c r="J118" s="23">
        <v>235790500</v>
      </c>
      <c r="K118" s="37">
        <v>1.7566999999999999</v>
      </c>
    </row>
    <row r="119" spans="1:11" ht="15.75" customHeight="1" outlineLevel="2" x14ac:dyDescent="0.2">
      <c r="A119" s="30" t="s">
        <v>207</v>
      </c>
      <c r="B119" s="21" t="s">
        <v>208</v>
      </c>
      <c r="C119" s="22">
        <v>60000000</v>
      </c>
      <c r="D119" s="23">
        <v>49988056</v>
      </c>
      <c r="E119" s="24">
        <v>0.83309999999999995</v>
      </c>
      <c r="F119" s="23">
        <v>49988056</v>
      </c>
      <c r="G119" s="24">
        <v>0.83309999999999995</v>
      </c>
      <c r="H119" s="23">
        <v>57507849</v>
      </c>
      <c r="I119" s="24">
        <v>0.86919999999999997</v>
      </c>
      <c r="J119" s="23">
        <v>57507849</v>
      </c>
      <c r="K119" s="37">
        <v>0.86919999999999997</v>
      </c>
    </row>
    <row r="120" spans="1:11" ht="15.75" customHeight="1" outlineLevel="2" x14ac:dyDescent="0.2">
      <c r="A120" s="30" t="s">
        <v>209</v>
      </c>
      <c r="B120" s="21" t="s">
        <v>210</v>
      </c>
      <c r="C120" s="22">
        <v>140000000</v>
      </c>
      <c r="D120" s="23">
        <v>69793426</v>
      </c>
      <c r="E120" s="24">
        <v>0.4985</v>
      </c>
      <c r="F120" s="23">
        <v>69793426</v>
      </c>
      <c r="G120" s="24">
        <v>0.4985</v>
      </c>
      <c r="H120" s="23">
        <v>160319035</v>
      </c>
      <c r="I120" s="24">
        <v>0.43530000000000002</v>
      </c>
      <c r="J120" s="23">
        <v>160319035</v>
      </c>
      <c r="K120" s="37">
        <v>0.43530000000000002</v>
      </c>
    </row>
    <row r="121" spans="1:11" ht="15.75" customHeight="1" outlineLevel="2" x14ac:dyDescent="0.2">
      <c r="A121" s="30" t="s">
        <v>211</v>
      </c>
      <c r="B121" s="21" t="s">
        <v>212</v>
      </c>
      <c r="C121" s="22">
        <v>95000000</v>
      </c>
      <c r="D121" s="23">
        <v>49684362</v>
      </c>
      <c r="E121" s="24">
        <v>0.52300000000000002</v>
      </c>
      <c r="F121" s="23">
        <v>49684362</v>
      </c>
      <c r="G121" s="24">
        <v>0.52300000000000002</v>
      </c>
      <c r="H121" s="23">
        <v>67843556</v>
      </c>
      <c r="I121" s="24">
        <v>0.73229999999999995</v>
      </c>
      <c r="J121" s="23">
        <v>67843556</v>
      </c>
      <c r="K121" s="37">
        <v>0.73229999999999995</v>
      </c>
    </row>
    <row r="122" spans="1:11" ht="15.75" customHeight="1" outlineLevel="2" x14ac:dyDescent="0.2">
      <c r="A122" s="30" t="s">
        <v>213</v>
      </c>
      <c r="B122" s="21" t="s">
        <v>214</v>
      </c>
      <c r="C122" s="22">
        <v>0</v>
      </c>
      <c r="D122" s="23">
        <v>22289815</v>
      </c>
      <c r="E122" s="24">
        <v>0</v>
      </c>
      <c r="F122" s="23">
        <v>22289815</v>
      </c>
      <c r="G122" s="24">
        <v>0</v>
      </c>
      <c r="H122" s="23">
        <v>127485100</v>
      </c>
      <c r="I122" s="24">
        <v>0.17480000000000001</v>
      </c>
      <c r="J122" s="23">
        <v>127485100</v>
      </c>
      <c r="K122" s="37">
        <v>0.17480000000000001</v>
      </c>
    </row>
    <row r="123" spans="1:11" ht="15.75" customHeight="1" outlineLevel="2" x14ac:dyDescent="0.2">
      <c r="A123" s="30" t="s">
        <v>215</v>
      </c>
      <c r="B123" s="21" t="s">
        <v>216</v>
      </c>
      <c r="C123" s="22">
        <v>420000000</v>
      </c>
      <c r="D123" s="23">
        <v>420275008</v>
      </c>
      <c r="E123" s="24">
        <v>1.0006999999999999</v>
      </c>
      <c r="F123" s="23">
        <v>420275008</v>
      </c>
      <c r="G123" s="24">
        <v>1.0006999999999999</v>
      </c>
      <c r="H123" s="23">
        <v>860603686</v>
      </c>
      <c r="I123" s="24">
        <v>0.48830000000000001</v>
      </c>
      <c r="J123" s="23">
        <v>860603686</v>
      </c>
      <c r="K123" s="37">
        <v>0.48830000000000001</v>
      </c>
    </row>
    <row r="124" spans="1:11" ht="15.75" customHeight="1" outlineLevel="2" x14ac:dyDescent="0.2">
      <c r="A124" s="30" t="s">
        <v>217</v>
      </c>
      <c r="B124" s="21" t="s">
        <v>218</v>
      </c>
      <c r="C124" s="22">
        <v>0</v>
      </c>
      <c r="D124" s="23"/>
      <c r="E124" s="24">
        <v>0</v>
      </c>
      <c r="F124" s="23"/>
      <c r="G124" s="24">
        <v>0</v>
      </c>
      <c r="H124" s="23">
        <v>26414667</v>
      </c>
      <c r="I124" s="24">
        <v>0</v>
      </c>
      <c r="J124" s="23">
        <v>26414667</v>
      </c>
      <c r="K124" s="37">
        <v>0</v>
      </c>
    </row>
    <row r="125" spans="1:11" ht="15.75" customHeight="1" outlineLevel="2" x14ac:dyDescent="0.2">
      <c r="A125" s="30" t="s">
        <v>219</v>
      </c>
      <c r="B125" s="21" t="s">
        <v>220</v>
      </c>
      <c r="C125" s="22">
        <v>240000000</v>
      </c>
      <c r="D125" s="23">
        <v>221607223</v>
      </c>
      <c r="E125" s="24">
        <v>0.9234</v>
      </c>
      <c r="F125" s="23">
        <v>221607223</v>
      </c>
      <c r="G125" s="24">
        <v>0.9234</v>
      </c>
      <c r="H125" s="23">
        <v>647765770</v>
      </c>
      <c r="I125" s="24">
        <v>0.34210000000000002</v>
      </c>
      <c r="J125" s="23">
        <v>647765770</v>
      </c>
      <c r="K125" s="37">
        <v>0.34210000000000002</v>
      </c>
    </row>
    <row r="126" spans="1:11" ht="15.75" customHeight="1" outlineLevel="2" x14ac:dyDescent="0.2">
      <c r="A126" s="30" t="s">
        <v>221</v>
      </c>
      <c r="B126" s="21" t="s">
        <v>222</v>
      </c>
      <c r="C126" s="22">
        <v>50000000</v>
      </c>
      <c r="D126" s="23">
        <v>33267908</v>
      </c>
      <c r="E126" s="24">
        <v>0.66539999999999999</v>
      </c>
      <c r="F126" s="23">
        <v>33267908</v>
      </c>
      <c r="G126" s="24">
        <v>0.66539999999999999</v>
      </c>
      <c r="H126" s="23">
        <v>35105665</v>
      </c>
      <c r="I126" s="24">
        <v>0.94769999999999999</v>
      </c>
      <c r="J126" s="23">
        <v>35105665</v>
      </c>
      <c r="K126" s="37">
        <v>0.94769999999999999</v>
      </c>
    </row>
    <row r="127" spans="1:11" ht="15.75" customHeight="1" outlineLevel="2" x14ac:dyDescent="0.2">
      <c r="A127" s="30" t="s">
        <v>223</v>
      </c>
      <c r="B127" s="21" t="s">
        <v>224</v>
      </c>
      <c r="C127" s="22">
        <v>50000000</v>
      </c>
      <c r="D127" s="23">
        <v>42664408</v>
      </c>
      <c r="E127" s="24">
        <v>0.85329999999999995</v>
      </c>
      <c r="F127" s="23">
        <v>42664408</v>
      </c>
      <c r="G127" s="24">
        <v>0.85329999999999995</v>
      </c>
      <c r="H127" s="23">
        <v>378453</v>
      </c>
      <c r="I127" s="24">
        <v>112.7337</v>
      </c>
      <c r="J127" s="23">
        <v>378453</v>
      </c>
      <c r="K127" s="37">
        <v>112.7337</v>
      </c>
    </row>
    <row r="128" spans="1:11" ht="30" customHeight="1" outlineLevel="2" x14ac:dyDescent="0.2">
      <c r="A128" s="30" t="s">
        <v>225</v>
      </c>
      <c r="B128" s="21" t="s">
        <v>226</v>
      </c>
      <c r="C128" s="22">
        <v>270000000</v>
      </c>
      <c r="D128" s="23">
        <v>79305682</v>
      </c>
      <c r="E128" s="24">
        <v>0.29370000000000002</v>
      </c>
      <c r="F128" s="23">
        <v>79305682</v>
      </c>
      <c r="G128" s="24">
        <v>0.29370000000000002</v>
      </c>
      <c r="H128" s="23">
        <v>350509980</v>
      </c>
      <c r="I128" s="24">
        <v>0.2263</v>
      </c>
      <c r="J128" s="23">
        <v>350509980</v>
      </c>
      <c r="K128" s="37">
        <v>0.2263</v>
      </c>
    </row>
    <row r="129" spans="1:11" ht="15.75" customHeight="1" outlineLevel="2" x14ac:dyDescent="0.2">
      <c r="A129" s="30" t="s">
        <v>227</v>
      </c>
      <c r="B129" s="21" t="s">
        <v>228</v>
      </c>
      <c r="C129" s="22">
        <v>105000000</v>
      </c>
      <c r="D129" s="23">
        <v>30500000</v>
      </c>
      <c r="E129" s="24">
        <v>0.29049999999999998</v>
      </c>
      <c r="F129" s="23">
        <v>30500000</v>
      </c>
      <c r="G129" s="24">
        <v>0.29049999999999998</v>
      </c>
      <c r="H129" s="23">
        <v>37587411</v>
      </c>
      <c r="I129" s="24">
        <v>0.81140000000000001</v>
      </c>
      <c r="J129" s="23">
        <v>37587411</v>
      </c>
      <c r="K129" s="37">
        <v>0.81140000000000001</v>
      </c>
    </row>
    <row r="130" spans="1:11" ht="15.75" customHeight="1" outlineLevel="2" x14ac:dyDescent="0.2">
      <c r="A130" s="30" t="s">
        <v>229</v>
      </c>
      <c r="B130" s="21" t="s">
        <v>230</v>
      </c>
      <c r="C130" s="22">
        <v>160000000</v>
      </c>
      <c r="D130" s="23"/>
      <c r="E130" s="24">
        <v>0</v>
      </c>
      <c r="F130" s="23"/>
      <c r="G130" s="24">
        <v>0</v>
      </c>
      <c r="H130" s="23">
        <v>148158335</v>
      </c>
      <c r="I130" s="24">
        <v>0</v>
      </c>
      <c r="J130" s="23">
        <v>148158335</v>
      </c>
      <c r="K130" s="37">
        <v>0</v>
      </c>
    </row>
    <row r="131" spans="1:11" ht="15.75" customHeight="1" outlineLevel="2" x14ac:dyDescent="0.2">
      <c r="A131" s="30" t="s">
        <v>231</v>
      </c>
      <c r="B131" s="21" t="s">
        <v>232</v>
      </c>
      <c r="C131" s="22">
        <v>20000000</v>
      </c>
      <c r="D131" s="23"/>
      <c r="E131" s="24">
        <v>0</v>
      </c>
      <c r="F131" s="23"/>
      <c r="G131" s="24">
        <v>0</v>
      </c>
      <c r="H131" s="23">
        <v>1477493</v>
      </c>
      <c r="I131" s="24">
        <v>0</v>
      </c>
      <c r="J131" s="23">
        <v>1477493</v>
      </c>
      <c r="K131" s="37">
        <v>0</v>
      </c>
    </row>
    <row r="132" spans="1:11" ht="15.75" customHeight="1" outlineLevel="2" x14ac:dyDescent="0.2">
      <c r="A132" s="30" t="s">
        <v>233</v>
      </c>
      <c r="B132" s="21" t="s">
        <v>234</v>
      </c>
      <c r="C132" s="22">
        <v>100000000</v>
      </c>
      <c r="D132" s="23">
        <v>18954000</v>
      </c>
      <c r="E132" s="24">
        <v>0.1895</v>
      </c>
      <c r="F132" s="23">
        <v>18954000</v>
      </c>
      <c r="G132" s="24">
        <v>0.1895</v>
      </c>
      <c r="H132" s="23">
        <v>101555298</v>
      </c>
      <c r="I132" s="24">
        <v>0.18659999999999999</v>
      </c>
      <c r="J132" s="23">
        <v>101555298</v>
      </c>
      <c r="K132" s="37">
        <v>0.18659999999999999</v>
      </c>
    </row>
    <row r="133" spans="1:11" ht="15.75" customHeight="1" outlineLevel="2" x14ac:dyDescent="0.2">
      <c r="A133" s="30" t="s">
        <v>235</v>
      </c>
      <c r="B133" s="21" t="s">
        <v>236</v>
      </c>
      <c r="C133" s="22">
        <v>60000000</v>
      </c>
      <c r="D133" s="23">
        <v>17639429</v>
      </c>
      <c r="E133" s="24">
        <v>0.29399999999999998</v>
      </c>
      <c r="F133" s="23">
        <v>17639429</v>
      </c>
      <c r="G133" s="24">
        <v>0.29399999999999998</v>
      </c>
      <c r="H133" s="23">
        <v>23522118</v>
      </c>
      <c r="I133" s="24">
        <v>0.74990000000000001</v>
      </c>
      <c r="J133" s="23">
        <v>23522118</v>
      </c>
      <c r="K133" s="37">
        <v>0.74990000000000001</v>
      </c>
    </row>
    <row r="134" spans="1:11" ht="15.75" customHeight="1" outlineLevel="2" x14ac:dyDescent="0.2">
      <c r="A134" s="30" t="s">
        <v>237</v>
      </c>
      <c r="B134" s="21" t="s">
        <v>238</v>
      </c>
      <c r="C134" s="22">
        <v>365000000</v>
      </c>
      <c r="D134" s="23">
        <v>335843225</v>
      </c>
      <c r="E134" s="24">
        <v>0.92010000000000003</v>
      </c>
      <c r="F134" s="23">
        <v>335843225</v>
      </c>
      <c r="G134" s="24">
        <v>0.92010000000000003</v>
      </c>
      <c r="H134" s="23">
        <v>57065400</v>
      </c>
      <c r="I134" s="24">
        <v>5.8852000000000002</v>
      </c>
      <c r="J134" s="23">
        <v>57065400</v>
      </c>
      <c r="K134" s="37">
        <v>5.8852000000000002</v>
      </c>
    </row>
    <row r="135" spans="1:11" ht="15.75" customHeight="1" outlineLevel="2" x14ac:dyDescent="0.2">
      <c r="A135" s="30" t="s">
        <v>239</v>
      </c>
      <c r="B135" s="21" t="s">
        <v>240</v>
      </c>
      <c r="C135" s="22">
        <v>5019000000</v>
      </c>
      <c r="D135" s="23">
        <v>2810695833</v>
      </c>
      <c r="E135" s="24">
        <v>0.56000000000000005</v>
      </c>
      <c r="F135" s="23">
        <v>2810695833</v>
      </c>
      <c r="G135" s="24">
        <v>0.56000000000000005</v>
      </c>
      <c r="H135" s="23">
        <v>7332060852</v>
      </c>
      <c r="I135" s="24">
        <v>0.38329999999999997</v>
      </c>
      <c r="J135" s="23">
        <v>7332060852</v>
      </c>
      <c r="K135" s="37">
        <v>0.38329999999999997</v>
      </c>
    </row>
    <row r="136" spans="1:11" ht="30" customHeight="1" outlineLevel="2" x14ac:dyDescent="0.2">
      <c r="A136" s="30" t="s">
        <v>241</v>
      </c>
      <c r="B136" s="21" t="s">
        <v>242</v>
      </c>
      <c r="C136" s="22">
        <v>245000000</v>
      </c>
      <c r="D136" s="23">
        <v>83380859</v>
      </c>
      <c r="E136" s="24">
        <v>0.34029999999999999</v>
      </c>
      <c r="F136" s="23">
        <v>83380859</v>
      </c>
      <c r="G136" s="24">
        <v>0.34029999999999999</v>
      </c>
      <c r="H136" s="23">
        <v>160222301</v>
      </c>
      <c r="I136" s="24">
        <v>0.52039999999999997</v>
      </c>
      <c r="J136" s="23">
        <v>160222301</v>
      </c>
      <c r="K136" s="37">
        <v>0.52039999999999997</v>
      </c>
    </row>
    <row r="137" spans="1:11" ht="15.75" customHeight="1" outlineLevel="2" x14ac:dyDescent="0.2">
      <c r="A137" s="30" t="s">
        <v>243</v>
      </c>
      <c r="B137" s="21" t="s">
        <v>244</v>
      </c>
      <c r="C137" s="22">
        <v>0</v>
      </c>
      <c r="D137" s="23">
        <v>-34118000</v>
      </c>
      <c r="E137" s="24">
        <v>0</v>
      </c>
      <c r="F137" s="23">
        <v>-34118000</v>
      </c>
      <c r="G137" s="24">
        <v>0</v>
      </c>
      <c r="H137" s="23">
        <v>46834000</v>
      </c>
      <c r="I137" s="24">
        <v>-0.72850000000000004</v>
      </c>
      <c r="J137" s="23">
        <v>46834000</v>
      </c>
      <c r="K137" s="37">
        <v>-0.72850000000000004</v>
      </c>
    </row>
    <row r="138" spans="1:11" ht="15.75" customHeight="1" x14ac:dyDescent="0.2">
      <c r="A138" s="28" t="s">
        <v>245</v>
      </c>
      <c r="B138" s="17"/>
      <c r="C138" s="18">
        <f>SUBTOTAL(9,C139:C139)</f>
        <v>7700000000</v>
      </c>
      <c r="D138" s="19">
        <f>SUBTOTAL(9,D139:D139)</f>
        <v>7472045985</v>
      </c>
      <c r="E138" s="20">
        <v>0.97039558246753244</v>
      </c>
      <c r="F138" s="19">
        <f>SUBTOTAL(9,F139:F139)</f>
        <v>7472045985</v>
      </c>
      <c r="G138" s="20">
        <v>0.97039558246753244</v>
      </c>
      <c r="H138" s="19">
        <f>SUBTOTAL(9,H139:H139)</f>
        <v>8981251995</v>
      </c>
      <c r="I138" s="20">
        <v>0.83196039807810784</v>
      </c>
      <c r="J138" s="19">
        <f>SUBTOTAL(9,J139:J139)</f>
        <v>8981251995</v>
      </c>
      <c r="K138" s="36">
        <v>0.83196039807810784</v>
      </c>
    </row>
    <row r="139" spans="1:11" ht="15.75" customHeight="1" outlineLevel="1" x14ac:dyDescent="0.2">
      <c r="A139" s="35" t="s">
        <v>246</v>
      </c>
      <c r="B139" s="21" t="s">
        <v>247</v>
      </c>
      <c r="C139" s="22">
        <v>7700000000</v>
      </c>
      <c r="D139" s="23">
        <v>7472045985</v>
      </c>
      <c r="E139" s="24">
        <v>0.97040000000000004</v>
      </c>
      <c r="F139" s="23">
        <v>7472045985</v>
      </c>
      <c r="G139" s="24">
        <v>0.97040000000000004</v>
      </c>
      <c r="H139" s="23">
        <v>8981251995</v>
      </c>
      <c r="I139" s="24">
        <v>0.83199999999999996</v>
      </c>
      <c r="J139" s="23">
        <v>8981251995</v>
      </c>
      <c r="K139" s="37">
        <v>0.83199999999999996</v>
      </c>
    </row>
    <row r="140" spans="1:11" ht="15.75" customHeight="1" x14ac:dyDescent="0.2">
      <c r="A140" s="28" t="s">
        <v>248</v>
      </c>
      <c r="B140" s="17"/>
      <c r="C140" s="18">
        <f>SUBTOTAL(9,C141:C156)</f>
        <v>655000000</v>
      </c>
      <c r="D140" s="19">
        <f>SUBTOTAL(9,D141:D156)</f>
        <v>295295592</v>
      </c>
      <c r="E140" s="20">
        <v>0.45083296488549618</v>
      </c>
      <c r="F140" s="19">
        <f>SUBTOTAL(9,F141:F156)</f>
        <v>295295592</v>
      </c>
      <c r="G140" s="20">
        <v>0.45083296488549618</v>
      </c>
      <c r="H140" s="19">
        <f>SUBTOTAL(9,H141:H156)</f>
        <v>383281427</v>
      </c>
      <c r="I140" s="20">
        <v>0.77044065065015532</v>
      </c>
      <c r="J140" s="19">
        <f>SUBTOTAL(9,J141:J156)</f>
        <v>383281427</v>
      </c>
      <c r="K140" s="36">
        <v>0.77044065065015532</v>
      </c>
    </row>
    <row r="141" spans="1:11" ht="15.75" customHeight="1" outlineLevel="1" x14ac:dyDescent="0.2">
      <c r="A141" s="35" t="s">
        <v>249</v>
      </c>
      <c r="B141" s="21" t="s">
        <v>250</v>
      </c>
      <c r="C141" s="22">
        <v>70000000</v>
      </c>
      <c r="D141" s="23">
        <v>72893982</v>
      </c>
      <c r="E141" s="24">
        <v>1.0412999999999999</v>
      </c>
      <c r="F141" s="23">
        <v>72893982</v>
      </c>
      <c r="G141" s="24">
        <v>1.0412999999999999</v>
      </c>
      <c r="H141" s="23">
        <v>95388695</v>
      </c>
      <c r="I141" s="24">
        <v>0.76419999999999999</v>
      </c>
      <c r="J141" s="23">
        <v>95388695</v>
      </c>
      <c r="K141" s="37">
        <v>0.76419999999999999</v>
      </c>
    </row>
    <row r="142" spans="1:11" ht="15.75" customHeight="1" outlineLevel="1" x14ac:dyDescent="0.2">
      <c r="A142" s="35" t="s">
        <v>251</v>
      </c>
      <c r="B142" s="21" t="s">
        <v>252</v>
      </c>
      <c r="C142" s="22">
        <v>147000000</v>
      </c>
      <c r="D142" s="23">
        <v>24000002</v>
      </c>
      <c r="E142" s="24">
        <v>0.1633</v>
      </c>
      <c r="F142" s="23">
        <v>24000002</v>
      </c>
      <c r="G142" s="24">
        <v>0.1633</v>
      </c>
      <c r="H142" s="23">
        <v>7910494</v>
      </c>
      <c r="I142" s="24">
        <v>3.0339</v>
      </c>
      <c r="J142" s="23">
        <v>7910494</v>
      </c>
      <c r="K142" s="37">
        <v>3.0339</v>
      </c>
    </row>
    <row r="143" spans="1:11" ht="15.75" customHeight="1" outlineLevel="1" x14ac:dyDescent="0.2">
      <c r="A143" s="35" t="s">
        <v>56</v>
      </c>
      <c r="B143" s="21" t="s">
        <v>253</v>
      </c>
      <c r="C143" s="22">
        <v>0</v>
      </c>
      <c r="D143" s="23">
        <v>11700168</v>
      </c>
      <c r="E143" s="24">
        <v>0</v>
      </c>
      <c r="F143" s="23">
        <v>11700168</v>
      </c>
      <c r="G143" s="24">
        <v>0</v>
      </c>
      <c r="H143" s="23">
        <v>11700168</v>
      </c>
      <c r="I143" s="24">
        <v>1</v>
      </c>
      <c r="J143" s="23">
        <v>11700168</v>
      </c>
      <c r="K143" s="37">
        <v>1</v>
      </c>
    </row>
    <row r="144" spans="1:11" ht="15.75" customHeight="1" outlineLevel="1" x14ac:dyDescent="0.2">
      <c r="A144" s="35" t="s">
        <v>254</v>
      </c>
      <c r="B144" s="21" t="s">
        <v>255</v>
      </c>
      <c r="C144" s="22">
        <v>0</v>
      </c>
      <c r="D144" s="23"/>
      <c r="E144" s="24">
        <v>0</v>
      </c>
      <c r="F144" s="23"/>
      <c r="G144" s="24">
        <v>0</v>
      </c>
      <c r="H144" s="23"/>
      <c r="I144" s="24">
        <v>0</v>
      </c>
      <c r="J144" s="23"/>
      <c r="K144" s="37">
        <v>0</v>
      </c>
    </row>
    <row r="145" spans="1:11" ht="15.75" customHeight="1" outlineLevel="1" x14ac:dyDescent="0.2">
      <c r="A145" s="29" t="s">
        <v>256</v>
      </c>
      <c r="B145" s="17"/>
      <c r="C145" s="18">
        <f>SUBTOTAL(9,C146:C149)</f>
        <v>274000000</v>
      </c>
      <c r="D145" s="19">
        <f>SUBTOTAL(9,D146:D149)</f>
        <v>92293635</v>
      </c>
      <c r="E145" s="20">
        <v>0.33683808394160586</v>
      </c>
      <c r="F145" s="19">
        <f>SUBTOTAL(9,F146:F149)</f>
        <v>92293635</v>
      </c>
      <c r="G145" s="20">
        <v>0.33683808394160586</v>
      </c>
      <c r="H145" s="19">
        <f>SUBTOTAL(9,H146:H149)</f>
        <v>124538180</v>
      </c>
      <c r="I145" s="20">
        <v>0.74108707064773227</v>
      </c>
      <c r="J145" s="19">
        <f>SUBTOTAL(9,J146:J149)</f>
        <v>124538180</v>
      </c>
      <c r="K145" s="36">
        <v>0.74108707064773227</v>
      </c>
    </row>
    <row r="146" spans="1:11" ht="15.75" customHeight="1" outlineLevel="2" x14ac:dyDescent="0.2">
      <c r="A146" s="30" t="s">
        <v>257</v>
      </c>
      <c r="B146" s="21" t="s">
        <v>258</v>
      </c>
      <c r="C146" s="22">
        <v>2000000</v>
      </c>
      <c r="D146" s="23">
        <v>193635</v>
      </c>
      <c r="E146" s="24">
        <v>9.6799999999999997E-2</v>
      </c>
      <c r="F146" s="23">
        <v>193635</v>
      </c>
      <c r="G146" s="24">
        <v>9.6799999999999997E-2</v>
      </c>
      <c r="H146" s="23">
        <v>238180</v>
      </c>
      <c r="I146" s="24">
        <v>0.81299999999999994</v>
      </c>
      <c r="J146" s="23">
        <v>238180</v>
      </c>
      <c r="K146" s="37">
        <v>0.81299999999999994</v>
      </c>
    </row>
    <row r="147" spans="1:11" ht="15.75" customHeight="1" outlineLevel="2" x14ac:dyDescent="0.2">
      <c r="A147" s="30" t="s">
        <v>259</v>
      </c>
      <c r="B147" s="21" t="s">
        <v>260</v>
      </c>
      <c r="C147" s="22">
        <v>100000000</v>
      </c>
      <c r="D147" s="23">
        <v>72000000</v>
      </c>
      <c r="E147" s="24">
        <v>0.72</v>
      </c>
      <c r="F147" s="23">
        <v>72000000</v>
      </c>
      <c r="G147" s="24">
        <v>0.72</v>
      </c>
      <c r="H147" s="23">
        <v>96000000</v>
      </c>
      <c r="I147" s="24">
        <v>0.75</v>
      </c>
      <c r="J147" s="23">
        <v>96000000</v>
      </c>
      <c r="K147" s="37">
        <v>0.75</v>
      </c>
    </row>
    <row r="148" spans="1:11" ht="15.75" customHeight="1" outlineLevel="2" x14ac:dyDescent="0.2">
      <c r="A148" s="30" t="s">
        <v>261</v>
      </c>
      <c r="B148" s="21" t="s">
        <v>262</v>
      </c>
      <c r="C148" s="22">
        <v>25000000</v>
      </c>
      <c r="D148" s="23">
        <v>18000000</v>
      </c>
      <c r="E148" s="24">
        <v>0.72</v>
      </c>
      <c r="F148" s="23">
        <v>18000000</v>
      </c>
      <c r="G148" s="24">
        <v>0.72</v>
      </c>
      <c r="H148" s="23">
        <v>24000000</v>
      </c>
      <c r="I148" s="24">
        <v>0.75</v>
      </c>
      <c r="J148" s="23">
        <v>24000000</v>
      </c>
      <c r="K148" s="37">
        <v>0.75</v>
      </c>
    </row>
    <row r="149" spans="1:11" ht="15.75" customHeight="1" outlineLevel="2" x14ac:dyDescent="0.2">
      <c r="A149" s="30" t="s">
        <v>263</v>
      </c>
      <c r="B149" s="21" t="s">
        <v>264</v>
      </c>
      <c r="C149" s="22">
        <v>147000000</v>
      </c>
      <c r="D149" s="23">
        <v>2100000</v>
      </c>
      <c r="E149" s="24">
        <v>1.43E-2</v>
      </c>
      <c r="F149" s="23">
        <v>2100000</v>
      </c>
      <c r="G149" s="24">
        <v>1.43E-2</v>
      </c>
      <c r="H149" s="23">
        <v>4300000</v>
      </c>
      <c r="I149" s="24">
        <v>0.4884</v>
      </c>
      <c r="J149" s="23">
        <v>4300000</v>
      </c>
      <c r="K149" s="37">
        <v>0.4884</v>
      </c>
    </row>
    <row r="150" spans="1:11" ht="15.75" customHeight="1" outlineLevel="1" x14ac:dyDescent="0.2">
      <c r="A150" s="29" t="s">
        <v>200</v>
      </c>
      <c r="B150" s="17"/>
      <c r="C150" s="18">
        <f>SUBTOTAL(9,C151:C156)</f>
        <v>164000000</v>
      </c>
      <c r="D150" s="19">
        <f>SUBTOTAL(9,D151:D156)</f>
        <v>94407805</v>
      </c>
      <c r="E150" s="20">
        <v>0.57565734756097564</v>
      </c>
      <c r="F150" s="19">
        <f>SUBTOTAL(9,F151:F156)</f>
        <v>94407805</v>
      </c>
      <c r="G150" s="20">
        <v>0.57565734756097564</v>
      </c>
      <c r="H150" s="19">
        <f>SUBTOTAL(9,H151:H156)</f>
        <v>143743890</v>
      </c>
      <c r="I150" s="20">
        <v>0.6567778637408519</v>
      </c>
      <c r="J150" s="19">
        <f>SUBTOTAL(9,J151:J156)</f>
        <v>143743890</v>
      </c>
      <c r="K150" s="36">
        <v>0.6567778637408519</v>
      </c>
    </row>
    <row r="151" spans="1:11" ht="15.75" customHeight="1" outlineLevel="2" x14ac:dyDescent="0.2">
      <c r="A151" s="30" t="s">
        <v>265</v>
      </c>
      <c r="B151" s="21" t="s">
        <v>266</v>
      </c>
      <c r="C151" s="22">
        <v>90000000</v>
      </c>
      <c r="D151" s="23">
        <v>47446524</v>
      </c>
      <c r="E151" s="24">
        <v>0.5272</v>
      </c>
      <c r="F151" s="23">
        <v>47446524</v>
      </c>
      <c r="G151" s="24">
        <v>0.5272</v>
      </c>
      <c r="H151" s="23">
        <v>76401852</v>
      </c>
      <c r="I151" s="24">
        <v>0.621</v>
      </c>
      <c r="J151" s="23">
        <v>76401852</v>
      </c>
      <c r="K151" s="37">
        <v>0.621</v>
      </c>
    </row>
    <row r="152" spans="1:11" ht="15.75" customHeight="1" outlineLevel="2" x14ac:dyDescent="0.2">
      <c r="A152" s="30" t="s">
        <v>267</v>
      </c>
      <c r="B152" s="21" t="s">
        <v>268</v>
      </c>
      <c r="C152" s="22">
        <v>30000000</v>
      </c>
      <c r="D152" s="23">
        <v>38400233</v>
      </c>
      <c r="E152" s="24">
        <v>1.28</v>
      </c>
      <c r="F152" s="23">
        <v>38400233</v>
      </c>
      <c r="G152" s="24">
        <v>1.28</v>
      </c>
      <c r="H152" s="23">
        <v>47662000</v>
      </c>
      <c r="I152" s="24">
        <v>0.80569999999999997</v>
      </c>
      <c r="J152" s="23">
        <v>47662000</v>
      </c>
      <c r="K152" s="37">
        <v>0.80569999999999997</v>
      </c>
    </row>
    <row r="153" spans="1:11" ht="15.75" customHeight="1" outlineLevel="2" x14ac:dyDescent="0.2">
      <c r="A153" s="30" t="s">
        <v>207</v>
      </c>
      <c r="B153" s="21" t="s">
        <v>269</v>
      </c>
      <c r="C153" s="22">
        <v>10000000</v>
      </c>
      <c r="D153" s="23">
        <v>3792686</v>
      </c>
      <c r="E153" s="24">
        <v>0.37930000000000003</v>
      </c>
      <c r="F153" s="23">
        <v>3792686</v>
      </c>
      <c r="G153" s="24">
        <v>0.37930000000000003</v>
      </c>
      <c r="H153" s="23">
        <v>8195034</v>
      </c>
      <c r="I153" s="24">
        <v>0.46279999999999999</v>
      </c>
      <c r="J153" s="23">
        <v>8195034</v>
      </c>
      <c r="K153" s="37">
        <v>0.46279999999999999</v>
      </c>
    </row>
    <row r="154" spans="1:11" ht="15.75" customHeight="1" outlineLevel="2" x14ac:dyDescent="0.2">
      <c r="A154" s="30" t="s">
        <v>270</v>
      </c>
      <c r="B154" s="21" t="s">
        <v>271</v>
      </c>
      <c r="C154" s="22">
        <v>10000000</v>
      </c>
      <c r="D154" s="23"/>
      <c r="E154" s="24">
        <v>0</v>
      </c>
      <c r="F154" s="23"/>
      <c r="G154" s="24">
        <v>0</v>
      </c>
      <c r="H154" s="23"/>
      <c r="I154" s="24">
        <v>0</v>
      </c>
      <c r="J154" s="23"/>
      <c r="K154" s="37">
        <v>0</v>
      </c>
    </row>
    <row r="155" spans="1:11" ht="15.75" customHeight="1" outlineLevel="2" x14ac:dyDescent="0.2">
      <c r="A155" s="30" t="s">
        <v>272</v>
      </c>
      <c r="B155" s="21" t="s">
        <v>273</v>
      </c>
      <c r="C155" s="22">
        <v>4000000</v>
      </c>
      <c r="D155" s="23"/>
      <c r="E155" s="24">
        <v>0</v>
      </c>
      <c r="F155" s="23"/>
      <c r="G155" s="24">
        <v>0</v>
      </c>
      <c r="H155" s="23"/>
      <c r="I155" s="24">
        <v>0</v>
      </c>
      <c r="J155" s="23"/>
      <c r="K155" s="37">
        <v>0</v>
      </c>
    </row>
    <row r="156" spans="1:11" ht="15.75" customHeight="1" outlineLevel="2" x14ac:dyDescent="0.2">
      <c r="A156" s="30" t="s">
        <v>235</v>
      </c>
      <c r="B156" s="21" t="s">
        <v>274</v>
      </c>
      <c r="C156" s="22">
        <v>20000000</v>
      </c>
      <c r="D156" s="23">
        <v>4768362</v>
      </c>
      <c r="E156" s="24">
        <v>0.2384</v>
      </c>
      <c r="F156" s="23">
        <v>4768362</v>
      </c>
      <c r="G156" s="24">
        <v>0.2384</v>
      </c>
      <c r="H156" s="23">
        <v>11485004</v>
      </c>
      <c r="I156" s="24">
        <v>0.41520000000000001</v>
      </c>
      <c r="J156" s="23">
        <v>11485004</v>
      </c>
      <c r="K156" s="37">
        <v>0.41520000000000001</v>
      </c>
    </row>
    <row r="157" spans="1:11" ht="15.75" customHeight="1" x14ac:dyDescent="0.2">
      <c r="A157" s="28" t="s">
        <v>243</v>
      </c>
      <c r="B157" s="17"/>
      <c r="C157" s="18">
        <f>SUBTOTAL(9,C158:C159)</f>
        <v>0</v>
      </c>
      <c r="D157" s="19">
        <f>SUBTOTAL(9,D158:D159)</f>
        <v>12755137</v>
      </c>
      <c r="E157" s="20">
        <v>0</v>
      </c>
      <c r="F157" s="19">
        <f>SUBTOTAL(9,F158:F159)</f>
        <v>12755137</v>
      </c>
      <c r="G157" s="20">
        <v>0</v>
      </c>
      <c r="H157" s="19">
        <f>SUBTOTAL(9,H158:H159)</f>
        <v>12755582</v>
      </c>
      <c r="I157" s="20">
        <v>0.99996511331274418</v>
      </c>
      <c r="J157" s="19">
        <f>SUBTOTAL(9,J158:J159)</f>
        <v>12755582</v>
      </c>
      <c r="K157" s="36">
        <v>0.99996511331274418</v>
      </c>
    </row>
    <row r="158" spans="1:11" ht="15.75" customHeight="1" outlineLevel="1" x14ac:dyDescent="0.2">
      <c r="A158" s="35" t="s">
        <v>275</v>
      </c>
      <c r="B158" s="21" t="s">
        <v>276</v>
      </c>
      <c r="C158" s="22">
        <v>0</v>
      </c>
      <c r="D158" s="23">
        <v>12750000</v>
      </c>
      <c r="E158" s="24">
        <v>0</v>
      </c>
      <c r="F158" s="23">
        <v>12750000</v>
      </c>
      <c r="G158" s="24">
        <v>0</v>
      </c>
      <c r="H158" s="23">
        <v>12750000</v>
      </c>
      <c r="I158" s="24">
        <v>1</v>
      </c>
      <c r="J158" s="23">
        <v>12750000</v>
      </c>
      <c r="K158" s="37">
        <v>1</v>
      </c>
    </row>
    <row r="159" spans="1:11" ht="15.75" customHeight="1" outlineLevel="1" x14ac:dyDescent="0.2">
      <c r="A159" s="35" t="s">
        <v>243</v>
      </c>
      <c r="B159" s="21" t="s">
        <v>277</v>
      </c>
      <c r="C159" s="22">
        <v>0</v>
      </c>
      <c r="D159" s="23">
        <v>5137</v>
      </c>
      <c r="E159" s="24">
        <v>0</v>
      </c>
      <c r="F159" s="23">
        <v>5137</v>
      </c>
      <c r="G159" s="24">
        <v>0</v>
      </c>
      <c r="H159" s="23">
        <v>5582</v>
      </c>
      <c r="I159" s="24">
        <v>0.92030000000000001</v>
      </c>
      <c r="J159" s="23">
        <v>5582</v>
      </c>
      <c r="K159" s="37">
        <v>0.92030000000000001</v>
      </c>
    </row>
    <row r="160" spans="1:11" ht="15.75" customHeight="1" x14ac:dyDescent="0.2">
      <c r="A160" s="2" t="s">
        <v>278</v>
      </c>
      <c r="B160" s="1"/>
      <c r="C160" s="25">
        <f>SUBTOTAL(9,C9:C159)</f>
        <v>147247000000</v>
      </c>
      <c r="D160" s="26">
        <f>SUBTOTAL(9,D9:D159)</f>
        <v>139117609921</v>
      </c>
      <c r="E160" s="27">
        <v>0.94479079316386749</v>
      </c>
      <c r="F160" s="26">
        <f>SUBTOTAL(9,F9:F159)</f>
        <v>139117609921</v>
      </c>
      <c r="G160" s="27">
        <v>0.94479079316386749</v>
      </c>
      <c r="H160" s="26">
        <f>SUBTOTAL(9,H9:H159)</f>
        <v>249775400539</v>
      </c>
      <c r="I160" s="27">
        <v>0.55697082106881912</v>
      </c>
      <c r="J160" s="26">
        <f>SUBTOTAL(9,J9:J159)</f>
        <v>249775400539</v>
      </c>
      <c r="K160" s="38">
        <v>0.55697082106881912</v>
      </c>
    </row>
    <row r="161" spans="1:3" ht="20.25" customHeight="1" x14ac:dyDescent="0.2">
      <c r="A161" s="11"/>
      <c r="B161" s="11"/>
      <c r="C161" s="39"/>
    </row>
    <row r="162" spans="1:3" ht="14.25" customHeight="1" x14ac:dyDescent="0.2">
      <c r="A162" s="13"/>
      <c r="B162" s="11"/>
      <c r="C162" s="13"/>
    </row>
    <row r="163" spans="1:3" ht="21.75" customHeight="1" x14ac:dyDescent="0.2">
      <c r="A163" s="40"/>
      <c r="B163" s="11"/>
      <c r="C163" s="40"/>
    </row>
  </sheetData>
  <mergeCells count="11">
    <mergeCell ref="A160:B160"/>
    <mergeCell ref="H7:I7"/>
    <mergeCell ref="J7:K7"/>
    <mergeCell ref="A43:B43"/>
    <mergeCell ref="A71:B71"/>
    <mergeCell ref="A88:B88"/>
    <mergeCell ref="A7:A8"/>
    <mergeCell ref="B7:B8"/>
    <mergeCell ref="C7:C8"/>
    <mergeCell ref="D7:E7"/>
    <mergeCell ref="F7:G7"/>
  </mergeCells>
  <printOptions horizontalCentered="1"/>
  <pageMargins left="0" right="0" top="0.59" bottom="0.59" header="0.5" footer="0.5"/>
  <pageSetup paperSize="9" orientation="landscape"/>
  <ignoredErrors>
    <ignoredError sqref="A1:L164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Báo cáo thực hiện chi phí 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Báo cáo thực hiện chi phí </dc:title>
  <dc:subject>Báo cáo thực hiện chi phí </dc:subject>
  <dc:creator>Bravo 10 10.6.3.2</dc:creator>
  <cp:keywords/>
  <dc:description/>
  <cp:lastModifiedBy>Hữu Minh Huỳnh</cp:lastModifiedBy>
  <dcterms:modified xsi:type="dcterms:W3CDTF">2026-10-27T04:18:37Z</dcterms:modified>
  <cp:category/>
</cp:coreProperties>
</file>